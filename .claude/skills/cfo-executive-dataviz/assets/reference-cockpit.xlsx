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86ce3f24db4c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nées" sheetId="1" r:id="Rb66990fa9a754a6e"/>
    <x:sheet xmlns:r="http://schemas.openxmlformats.org/officeDocument/2006/relationships" name="Cockpit" sheetId="2" r:id="Rb6c846612ecd46f7"/>
    <x:sheet xmlns:r="http://schemas.openxmlformats.org/officeDocument/2006/relationships" name="Contrôles" sheetId="3" r:id="R07305fa75d434c29"/>
    <x:sheet xmlns:r="http://schemas.openxmlformats.org/officeDocument/2006/relationships" name="Matrice campus" sheetId="4" r:id="R687a6ad74ae74e81"/>
  </x:sheets>
</x:workbook>
</file>

<file path=xl/sharedStrings.xml><?xml version="1.0" encoding="utf-8"?>
<x:sst xmlns:x="http://schemas.openxmlformats.org/spreadsheetml/2006/main">
  <x:si>
    <x:t xml:space="preserve">① PÉRIMÈTRE (les filtres du cockpit)</x:t>
  </x:si>
  <x:si>
    <x:t xml:space="preserve">Filtre</x:t>
  </x:si>
  <x:si>
    <x:t xml:space="preserve">Valeur</x:t>
  </x:si>
  <x:si>
    <x:t xml:space="preserve">Scénario</x:t>
  </x:si>
  <x:si>
    <x:t xml:space="preserve">REEL</x:t>
  </x:si>
  <x:si>
    <x:t xml:space="preserve">Version</x:t>
  </x:si>
  <x:si>
    <x:t xml:space="preserve">V_FINAL</x:t>
  </x:si>
  <x:si>
    <x:t xml:space="preserve">Exercice</x:t>
  </x:si>
  <x:si>
    <x:t xml:space="preserve">Période</x:t>
  </x:si>
  <x:si>
    <x:t xml:space="preserve">12 — Cumul</x:t>
  </x:si>
  <x:si>
    <x:t xml:space="preserve">Marque</x:t>
  </x:si>
  <x:si>
    <x:t xml:space="preserve">Toutes</x:t>
  </x:si>
  <x:si>
    <x:t xml:space="preserve">Campus</x:t>
  </x:si>
  <x:si>
    <x:t xml:space="preserve">Tous</x:t>
  </x:si>
  <x:si>
    <x:t xml:space="preserve">Modalité</x:t>
  </x:si>
  <x:si>
    <x:t xml:space="preserve">Entity</x:t>
  </x:si>
  <x:si>
    <x:t xml:space="preserve">CA 2024</x:t>
  </x:si>
  <x:si>
    <x:t xml:space="preserve">CA 2025</x:t>
  </x:si>
  <x:si>
    <x:t xml:space="preserve">CA 2026</x:t>
  </x:si>
  <x:si>
    <x:t xml:space="preserve">EBITDA 2024</x:t>
  </x:si>
  <x:si>
    <x:t xml:space="preserve">EBITDA 2025</x:t>
  </x:si>
  <x:si>
    <x:t xml:space="preserve">EBITDA 2026</x:t>
  </x:si>
  <x:si>
    <x:t xml:space="preserve">Inscrits 26</x:t>
  </x:si>
  <x:si>
    <x:t xml:space="preserve">Rempl. 26</x:t>
  </x:si>
  <x:si>
    <x:t xml:space="preserve">Mix alt. 26</x:t>
  </x:si>
  <x:si>
    <x:t xml:space="preserve">MBWAY_PAR</x:t>
  </x:si>
  <x:si>
    <x:t xml:space="preserve">MBway</x:t>
  </x:si>
  <x:si>
    <x:t xml:space="preserve">MBWAY_LYO</x:t>
  </x:si>
  <x:si>
    <x:t xml:space="preserve">MBWAY_BOR</x:t>
  </x:si>
  <x:si>
    <x:t xml:space="preserve">ISCOM_PAR</x:t>
  </x:si>
  <x:si>
    <x:t xml:space="preserve">Iscom</x:t>
  </x:si>
  <x:si>
    <x:t xml:space="preserve">ISCOM_LIL</x:t>
  </x:si>
  <x:si>
    <x:t xml:space="preserve">PIGIER_BOR</x:t>
  </x:si>
  <x:si>
    <x:t xml:space="preserve">Pigier</x:t>
  </x:si>
  <x:si>
    <x:t xml:space="preserve">PIGIER_LYO</x:t>
  </x:si>
  <x:si>
    <x:t xml:space="preserve">TUNON_PAR</x:t>
  </x:si>
  <x:si>
    <x:t xml:space="preserve">Tunon</x:t>
  </x:si>
  <x:si>
    <x:t xml:space="preserve">TUNON_LYO</x:t>
  </x:si>
  <x:si>
    <x:t xml:space="preserve">TOTAL GROUPE</x:t>
  </x:si>
  <x:si>
    <x:t xml:space="preserve">Mesure</x:t>
  </x:si>
  <x:si>
    <x:t xml:space="preserve">2024</x:t>
  </x:si>
  <x:si>
    <x:t xml:space="preserve">2025</x:t>
  </x:si>
  <x:si>
    <x:t xml:space="preserve">2026</x:t>
  </x:si>
  <x:si>
    <x:t xml:space="preserve">Dépenses d'acquisition (€)</x:t>
  </x:si>
  <x:si>
    <x:t xml:space="preserve">Inscrits (nouveaux)</x:t>
  </x:si>
  <x:si>
    <x:t xml:space="preserve">Remplissage moyen</x:t>
  </x:si>
  <x:si>
    <x:t xml:space="preserve">Étape</x:t>
  </x:si>
  <x:si>
    <x:t xml:space="preserve">Montant (€)</x:t>
  </x:si>
  <x:si>
    <x:t xml:space="preserve">Effet activité</x:t>
  </x:si>
  <x:si>
    <x:t xml:space="preserve">Effet prix / mix</x:t>
  </x:si>
  <x:si>
    <x:t xml:space="preserve">Effet coûts (résidu)</x:t>
  </x:si>
  <x:si>
    <x:t xml:space="preserve">Marge 2024</x:t>
  </x:si>
  <x:si>
    <x:t xml:space="preserve">Marge 2025</x:t>
  </x:si>
  <x:si>
    <x:t xml:space="preserve">Marge 2026</x:t>
  </x:si>
</x:sst>
</file>

<file path=xl/styles.xml><?xml version="1.0" encoding="utf-8"?>
<x:styleSheet xmlns:x="http://schemas.openxmlformats.org/spreadsheetml/2006/main">
  <x:numFmts count="17">
    <x:numFmt numFmtId="164" formatCode="0.0%"/>
    <x:numFmt numFmtId="165" formatCode="0.0"/>
    <x:numFmt numFmtId="166" formatCode="#,##0.00,,&quot; M€&quot;"/>
    <x:numFmt numFmtId="167" formatCode="&quot;▲ &quot;0.0%;&quot;▼ &quot;0.0%"/>
    <x:numFmt numFmtId="168" formatCode="&quot;↗ +&quot;0.0&quot; pt&quot;;&quot;↘ −&quot;0.0&quot; pt&quot;;&quot;→ &quot;0.0&quot; pt&quot;"/>
    <x:numFmt numFmtId="169" formatCode="#,##0&quot; €&quot;"/>
    <x:numFmt numFmtId="170" formatCode="0.0%;\-0.0%"/>
    <x:numFmt numFmtId="200" formatCode="€ #,##0"/>
    <x:numFmt numFmtId="201" formatCode="#,##0"/>
    <x:numFmt numFmtId="202" formatCode="0.0,,&quot; M€&quot;"/>
    <x:numFmt numFmtId="203" formatCode="+0.0%;-0.0%;0.0%"/>
    <x:numFmt numFmtId="204" formatCode="+0.0,,&quot; M€&quot;;-0.0,,&quot; M€&quot;;0.0,,&quot; M€&quot;"/>
    <x:numFmt numFmtId="205" formatCode="+0.0&quot; pt&quot;;-0.0&quot; pt&quot;;0.0&quot; pt&quot;"/>
    <x:numFmt numFmtId="206" formatCode="0.00,,&quot; M€&quot;"/>
    <x:numFmt numFmtId="207" formatCode="+0.00,,&quot; M€&quot;;-0.00,,&quot; M€&quot;;0.00,,&quot; M€&quot;"/>
    <x:numFmt numFmtId="208" formatCode="0"/>
    <x:numFmt numFmtId="209" formatCode="#,##0 [$€-fr-FR]"/>
  </x:numFmts>
  <x:fonts count="66">
    <x:font>
      <x:sz val="11"/>
      <x:color theme="1"/>
      <x:name val="Calibri"/>
    </x:font>
    <x:font>
      <x:b/>
      <x:sz val="12"/>
      <x:color rgb="FFFFFFFF"/>
      <x:name val="Segoe UI"/>
    </x:font>
    <x:font>
      <x:b/>
      <x:sz val="9"/>
      <x:color rgb="FF2A78D6"/>
      <x:name val="Segoe UI"/>
    </x:font>
    <x:font>
      <x:b/>
      <x:sz val="9"/>
      <x:color rgb="FFFFFFFF"/>
      <x:name val="Segoe UI"/>
    </x:font>
    <x:font>
      <x:sz val="9"/>
      <x:color rgb="FF131922"/>
      <x:name val="Segoe UI"/>
    </x:font>
    <x:font>
      <x:b/>
      <x:sz val="9"/>
      <x:color rgb="FF131922"/>
      <x:name val="Segoe UI"/>
    </x:font>
    <x:font>
      <x:sz val="9"/>
      <x:color rgb="FF7C8798"/>
      <x:name val="Segoe UI"/>
    </x:font>
    <x:font>
      <x:b/>
      <x:sz val="9"/>
      <x:color rgb="FFEB6834"/>
      <x:name val="Segoe UI"/>
    </x:font>
    <x:font>
      <x:b/>
      <x:sz val="14"/>
      <x:color rgb="FF131922"/>
      <x:name val="Segoe UI"/>
    </x:font>
    <x:font>
      <x:sz val="9"/>
      <x:color rgb="FF7C8798"/>
      <x:name val="Segoe UI"/>
    </x:font>
    <x:font>
      <x:b/>
      <x:sz val="9"/>
      <x:color rgb="FF2A78D6"/>
      <x:name val="Segoe UI"/>
    </x:font>
    <x:font>
      <x:b/>
      <x:sz val="8"/>
      <x:color rgb="FF7C8798"/>
      <x:name val="Segoe UI"/>
    </x:font>
    <x:font>
      <x:b/>
      <x:sz val="20"/>
      <x:color rgb="FF131922"/>
      <x:name val="Consolas"/>
    </x:font>
    <x:font>
      <x:b/>
      <x:sz val="10"/>
      <x:color rgb="FF131922"/>
      <x:name val="Segoe UI"/>
    </x:font>
    <x:font>
      <x:sz val="8"/>
      <x:color rgb="FF7C8798"/>
      <x:name val="Segoe UI"/>
    </x:font>
    <x:font>
      <x:b/>
      <x:sz val="10"/>
      <x:color rgb="FF131922"/>
      <x:name val="Segoe UI"/>
    </x:font>
    <x:font>
      <x:b/>
      <x:sz val="9"/>
      <x:color rgb="FF131922"/>
      <x:name val="Consolas"/>
    </x:font>
    <x:font>
      <x:b/>
      <x:sz val="8"/>
      <x:color rgb="FFEB6834"/>
      <x:name val="Segoe UI"/>
    </x:font>
    <x:font>
      <x:sz val="9"/>
      <x:color rgb="FF4D5866"/>
      <x:name val="Segoe UI"/>
    </x:font>
    <x:font>
      <x:sz val="9"/>
      <x:color rgb="FF4D5866"/>
      <x:name val="Consolas"/>
    </x:font>
    <x:font>
      <x:b/>
      <x:sz val="9"/>
      <x:color rgb="FF202733"/>
      <x:name val="Aptos"/>
    </x:font>
    <x:font>
      <x:sz val="9"/>
      <x:color rgb="FF202733"/>
      <x:name val="Aptos"/>
    </x:font>
    <x:font>
      <x:b/>
      <x:sz val="15"/>
      <x:color rgb="FFFFFFFF"/>
      <x:name val="Aptos Display"/>
    </x:font>
    <x:font>
      <x:b/>
      <x:sz val="10"/>
      <x:color rgb="FF2A78D6"/>
      <x:name val="Aptos"/>
    </x:font>
    <x:font>
      <x:b/>
      <x:sz val="9"/>
      <x:color rgb="FFFFFFFF"/>
      <x:name val="Aptos"/>
    </x:font>
    <x:font>
      <x:b/>
      <x:i/>
      <x:sz val="9"/>
      <x:color rgb="FFF28C45"/>
      <x:name val="Aptos"/>
    </x:font>
    <x:font>
      <x:i/>
      <x:sz val="9"/>
      <x:color rgb="FFF28C45"/>
      <x:name val="Aptos"/>
    </x:font>
    <x:font>
      <x:b/>
      <x:sz val="17"/>
      <x:color rgb="FFFFFFFF"/>
      <x:name val="Aptos Display"/>
    </x:font>
    <x:font>
      <x:sz val="9"/>
      <x:color rgb="FF69778B"/>
      <x:name val="Aptos"/>
    </x:font>
    <x:font>
      <x:b/>
      <x:sz val="9"/>
      <x:color rgb="FF2A78D6"/>
      <x:name val="Aptos"/>
    </x:font>
    <x:font>
      <x:sz val="8"/>
      <x:color rgb="FF69778B"/>
      <x:name val="Aptos"/>
    </x:font>
    <x:font>
      <x:b/>
      <x:sz val="8"/>
      <x:color rgb="FF69778B"/>
      <x:name val="Aptos"/>
    </x:font>
    <x:font>
      <x:b/>
      <x:sz val="18"/>
      <x:color rgb="FF202733"/>
      <x:name val="Aptos"/>
    </x:font>
    <x:font>
      <x:b/>
      <x:sz val="9"/>
      <x:color rgb="FF1E9E89"/>
      <x:name val="Aptos"/>
    </x:font>
    <x:font>
      <x:b/>
      <x:sz val="9"/>
      <x:color rgb="FFF28C45"/>
      <x:name val="Aptos"/>
    </x:font>
    <x:font>
      <x:b/>
      <x:sz val="11"/>
      <x:color rgb="FFFFFFFF"/>
      <x:name val="Aptos"/>
    </x:font>
    <x:font>
      <x:b/>
      <x:sz val="8"/>
      <x:color rgb="FFFFFFFF"/>
      <x:name val="Aptos"/>
    </x:font>
    <x:font>
      <x:sz val="8"/>
      <x:color rgb="FF202733"/>
      <x:name val="Aptos"/>
    </x:font>
    <x:font>
      <x:b/>
      <x:sz val="8"/>
      <x:color rgb="FFF28C45"/>
      <x:name val="Aptos"/>
    </x:font>
    <x:font>
      <x:b/>
      <x:sz val="8"/>
      <x:color rgb="FF2A78D6"/>
      <x:name val="Aptos"/>
    </x:font>
    <x:font>
      <x:b/>
      <x:sz val="8"/>
      <x:color rgb="FF202733"/>
      <x:name val="Aptos"/>
    </x:font>
    <x:font>
      <x:i/>
      <x:sz val="8"/>
      <x:color rgb="FF69778B"/>
      <x:name val="Aptos"/>
    </x:font>
    <x:font>
      <x:b/>
      <x:sz val="15"/>
      <x:color rgb="FFFFFFFF"/>
      <x:name val="Aptos"/>
    </x:font>
    <x:font>
      <x:b/>
      <x:sz val="11"/>
      <x:color rgb="FF172033"/>
      <x:name val="Aptos"/>
    </x:font>
    <x:font>
      <x:i/>
      <x:sz val="9"/>
      <x:color rgb="FF69778B"/>
      <x:name val="Aptos"/>
    </x:font>
    <x:font>
      <x:b/>
      <x:sz val="8"/>
      <x:color rgb="FFB8C6DA"/>
      <x:name val="Aptos"/>
    </x:font>
    <x:font>
      <x:i/>
      <x:sz val="8"/>
      <x:color rgb="FF2A78D6"/>
      <x:name val="Aptos"/>
    </x:font>
    <x:font>
      <x:sz val="9"/>
      <x:color rgb="FF6D7B91"/>
      <x:name val="Aptos"/>
    </x:font>
    <x:font>
      <x:sz val="8"/>
      <x:color rgb="FF6D7B91"/>
      <x:name val="Aptos"/>
    </x:font>
    <x:font>
      <x:b/>
      <x:sz val="8"/>
      <x:color rgb="FF6D7B91"/>
      <x:name val="Aptos"/>
    </x:font>
    <x:font>
      <x:b/>
      <x:sz val="11"/>
      <x:color rgb="FF202733"/>
      <x:name val="Aptos"/>
    </x:font>
    <x:font>
      <x:b/>
      <x:sz val="8"/>
      <x:color rgb="FF23845A"/>
      <x:name val="Aptos"/>
    </x:font>
    <x:font>
      <x:b/>
      <x:sz val="20"/>
      <x:color rgb="FF202733"/>
      <x:name val="Aptos"/>
    </x:font>
    <x:font>
      <x:b/>
      <x:sz val="8"/>
      <x:color rgb="FFE39A2D"/>
      <x:name val="Aptos"/>
    </x:font>
    <x:font>
      <x:b/>
      <x:sz val="8"/>
      <x:color rgb="FFC84343"/>
      <x:name val="Aptos"/>
    </x:font>
    <x:font>
      <x:b/>
      <x:sz val="8"/>
      <x:color rgb="FF7557C8"/>
      <x:name val="Aptos"/>
    </x:font>
    <x:font>
      <x:i/>
      <x:sz val="8"/>
      <x:color rgb="FF6D7B91"/>
      <x:name val="Aptos"/>
    </x:font>
    <x:font>
      <x:b/>
      <x:sz val="9"/>
      <x:color rgb="FF2B9FB3"/>
      <x:name val="Aptos"/>
    </x:font>
    <x:font>
      <x:b/>
      <x:sz val="9"/>
      <x:color rgb="FF17917C"/>
      <x:name val="Aptos"/>
    </x:font>
    <x:font>
      <x:b/>
      <x:sz val="9"/>
      <x:color rgb="FFEC7D3C"/>
      <x:name val="Aptos"/>
    </x:font>
    <x:font>
      <x:b/>
      <x:sz val="18"/>
      <x:color rgb="FF23845A"/>
      <x:name val="Aptos"/>
    </x:font>
    <x:font>
      <x:b/>
      <x:sz val="18"/>
      <x:color rgb="FF2A78D6"/>
      <x:name val="Aptos"/>
    </x:font>
    <x:font>
      <x:b/>
      <x:sz val="18"/>
      <x:color rgb="FFA56B0B"/>
      <x:name val="Aptos"/>
    </x:font>
    <x:font>
      <x:b/>
      <x:sz val="18"/>
      <x:color rgb="FFC84343"/>
      <x:name val="Aptos"/>
    </x:font>
    <x:font>
      <x:sz val="9"/>
      <x:color rgb="FF202733"/>
      <x:name val="Calibri"/>
    </x:font>
    <x:font>
      <x:i/>
      <x:sz val="11"/>
      <x:color rgb="FF6D7B91"/>
      <x:name val="Calibri"/>
    </x:font>
  </x:fonts>
  <x:fills count="33">
    <x:fill>
      <x:patternFill patternType="none"/>
    </x:fill>
    <x:fill>
      <x:patternFill patternType="gray125"/>
    </x:fill>
    <x:fill>
      <x:patternFill patternType="solid">
        <x:fgColor rgb="FF2A78D6"/>
      </x:patternFill>
    </x:fill>
    <x:fill>
      <x:patternFill patternType="solid">
        <x:fgColor rgb="FF4D5866"/>
      </x:patternFill>
    </x:fill>
    <x:fill>
      <x:patternFill patternType="solid">
        <x:fgColor rgb="FFEEF1F6"/>
      </x:patternFill>
    </x:fill>
    <x:fill>
      <x:patternFill patternType="solid">
        <x:fgColor rgb="FFFFFFFF"/>
      </x:patternFill>
    </x:fill>
    <x:fill>
      <x:patternFill patternType="solid">
        <x:fgColor rgb="FFDCE9F9"/>
      </x:patternFill>
    </x:fill>
    <x:fill>
      <x:patternFill patternType="solid">
        <x:fgColor rgb="FFF7F9FC"/>
      </x:patternFill>
    </x:fill>
    <x:fill>
      <x:patternFill patternType="solid">
        <x:fgColor rgb="FF2A78D6"/>
      </x:patternFill>
    </x:fill>
    <x:fill>
      <x:patternFill patternType="solid">
        <x:fgColor rgb="FFEAF2FC"/>
      </x:patternFill>
    </x:fill>
    <x:fill>
      <x:patternFill patternType="solid">
        <x:fgColor rgb="FF526071"/>
      </x:patternFill>
    </x:fill>
    <x:fill>
      <x:patternFill patternType="solid">
        <x:fgColor rgb="FFF8FBFF"/>
      </x:patternFill>
    </x:fill>
    <x:fill>
      <x:patternFill patternType="solid">
        <x:fgColor rgb="FFF6F8FB"/>
      </x:patternFill>
    </x:fill>
    <x:fill>
      <x:patternFill patternType="solid">
        <x:fgColor rgb="FFF3F6FA"/>
      </x:patternFill>
    </x:fill>
    <x:fill>
      <x:patternFill patternType="solid">
        <x:fgColor rgb="FF172033"/>
      </x:patternFill>
    </x:fill>
    <x:fill>
      <x:patternFill patternType="solid">
        <x:fgColor rgb="FFFFFFFF"/>
      </x:patternFill>
    </x:fill>
    <x:fill>
      <x:patternFill patternType="solid">
        <x:fgColor rgb="FFE9EDF3"/>
      </x:patternFill>
    </x:fill>
    <x:fill>
      <x:patternFill patternType="solid">
        <x:fgColor rgb="FFFFF1E8"/>
      </x:patternFill>
    </x:fill>
    <x:fill>
      <x:patternFill patternType="solid">
        <x:fgColor rgb="FF22314B"/>
      </x:patternFill>
    </x:fill>
    <x:fill>
      <x:patternFill patternType="solid">
        <x:fgColor rgb="FF2A78D6"/>
      </x:patternFill>
    </x:fill>
    <x:fill>
      <x:patternFill patternType="solid">
        <x:fgColor rgb="FFF2F5F9"/>
      </x:patternFill>
    </x:fill>
    <x:fill>
      <x:patternFill patternType="solid">
        <x:fgColor rgb="FF141E31"/>
      </x:patternFill>
    </x:fill>
    <x:fill>
      <x:patternFill patternType="solid">
        <x:fgColor rgb="FFFFFFFF"/>
      </x:patternFill>
    </x:fill>
    <x:fill>
      <x:patternFill patternType="solid">
        <x:fgColor rgb="FFEAF2FC"/>
      </x:patternFill>
    </x:fill>
    <x:fill>
      <x:patternFill patternType="solid">
        <x:fgColor rgb="FFE8F5EE"/>
      </x:patternFill>
    </x:fill>
    <x:fill>
      <x:patternFill patternType="solid">
        <x:fgColor rgb="FFFFF5DF"/>
      </x:patternFill>
    </x:fill>
    <x:fill>
      <x:patternFill patternType="solid">
        <x:fgColor rgb="FFFDEAEA"/>
      </x:patternFill>
    </x:fill>
    <x:fill>
      <x:patternFill patternType="solid">
        <x:fgColor rgb="FFF0ECFB"/>
      </x:patternFill>
    </x:fill>
    <x:fill>
      <x:patternFill patternType="solid">
        <x:fgColor rgb="FF516074"/>
      </x:patternFill>
    </x:fill>
    <x:fill>
      <x:patternFill patternType="solid">
        <x:fgColor rgb="FFF8FAFD"/>
      </x:patternFill>
    </x:fill>
    <x:fill>
      <x:patternFill patternType="solid">
        <x:fgColor rgb="FF23845A"/>
      </x:patternFill>
    </x:fill>
    <x:fill>
      <x:patternFill patternType="solid">
        <x:fgColor rgb="FFA56B0B"/>
      </x:patternFill>
    </x:fill>
    <x:fill>
      <x:patternFill patternType="solid">
        <x:fgColor rgb="FFC84343"/>
      </x:patternFill>
    </x:fill>
  </x:fills>
  <x:borders count="72">
    <x:border/>
    <x:border>
      <x:left style="thin">
        <x:color rgb="FF4D5866"/>
      </x:left>
      <x:right style="thin">
        <x:color rgb="FF4D5866"/>
      </x:right>
      <x:top style="thin">
        <x:color rgb="FF4D5866"/>
      </x:top>
      <x:bottom style="thin">
        <x:color rgb="FF4D5866"/>
      </x:bottom>
    </x:border>
    <x:border>
      <x:bottom style="thin">
        <x:color rgb="FFDFE4EC"/>
      </x:bottom>
    </x:border>
    <x:border>
      <x:top style="thin">
        <x:color rgb="FF7C8798"/>
      </x:top>
    </x:border>
    <x:border>
      <x:left style="thin">
        <x:color rgb="FFDFE4EC"/>
      </x:left>
      <x:top style="thin">
        <x:color rgb="FFDFE4EC"/>
      </x:top>
    </x:border>
    <x:border>
      <x:top style="thin">
        <x:color rgb="FFDFE4EC"/>
      </x:top>
    </x:border>
    <x:border>
      <x:right style="thin">
        <x:color rgb="FFDFE4EC"/>
      </x:right>
      <x:top style="thin">
        <x:color rgb="FFDFE4EC"/>
      </x:top>
    </x:border>
    <x:border>
      <x:left style="thin">
        <x:color rgb="FFDFE4EC"/>
      </x:left>
      <x:bottom style="thin">
        <x:color rgb="FFDFE4EC"/>
      </x:bottom>
    </x:border>
    <x:border>
      <x:right style="thin">
        <x:color rgb="FFDFE4EC"/>
      </x:right>
      <x:bottom style="thin">
        <x:color rgb="FFDFE4EC"/>
      </x:bottom>
    </x:border>
    <x:border>
      <x:left style="thin">
        <x:color rgb="FFDFE4EC"/>
      </x:left>
      <x:top style="thin">
        <x:color rgb="FFDFE4EC"/>
      </x:top>
      <x:bottom style="thin">
        <x:color rgb="FFDFE4EC"/>
      </x:bottom>
    </x:border>
    <x:border>
      <x:right style="thin">
        <x:color rgb="FFDFE4EC"/>
      </x:right>
      <x:top style="thin">
        <x:color rgb="FFDFE4EC"/>
      </x:top>
      <x:bottom style="thin">
        <x:color rgb="FFDFE4EC"/>
      </x:bottom>
    </x:border>
    <x:border>
      <x:left style="thin">
        <x:color rgb="FF2A78D6"/>
      </x:left>
      <x:top style="thin">
        <x:color rgb="FF2A78D6"/>
      </x:top>
      <x:bottom style="thin">
        <x:color rgb="FF2A78D6"/>
      </x:bottom>
    </x:border>
    <x:border>
      <x:right style="thin">
        <x:color rgb="FF2A78D6"/>
      </x:right>
      <x:top style="thin">
        <x:color rgb="FF2A78D6"/>
      </x:top>
      <x:bottom style="thin">
        <x:color rgb="FF2A78D6"/>
      </x:bottom>
    </x:border>
    <x:border>
      <x:left style="thin">
        <x:color rgb="FFDFE4EC"/>
      </x:left>
    </x:border>
    <x:border>
      <x:right style="thin">
        <x:color rgb="FFDFE4EC"/>
      </x:right>
    </x:border>
    <x:border>
      <x:left style="thin">
        <x:color rgb="FFFAB219"/>
      </x:left>
      <x:top style="thin">
        <x:color rgb="FFFAB219"/>
      </x:top>
    </x:border>
    <x:border>
      <x:right style="thin">
        <x:color rgb="FFFAB219"/>
      </x:right>
      <x:top style="thin">
        <x:color rgb="FFFAB219"/>
      </x:top>
    </x:border>
    <x:border>
      <x:left style="thin">
        <x:color rgb="FFFAB219"/>
      </x:left>
    </x:border>
    <x:border>
      <x:right style="thin">
        <x:color rgb="FFFAB219"/>
      </x:right>
    </x:border>
    <x:border>
      <x:left style="thin">
        <x:color rgb="FFFAB219"/>
      </x:left>
      <x:bottom style="thin">
        <x:color rgb="FFFAB219"/>
      </x:bottom>
    </x:border>
    <x:border>
      <x:right style="thin">
        <x:color rgb="FFFAB219"/>
      </x:right>
      <x:bottom style="thin">
        <x:color rgb="FFFAB219"/>
      </x:bottom>
    </x:border>
    <x:border/>
    <x:border>
      <x:top style="thin">
        <x:color rgb="FFDFE4EC"/>
      </x:top>
      <x:bottom style="thin">
        <x:color rgb="FFDFE4EC"/>
      </x:bottom>
    </x:border>
    <x:border>
      <x:bottom style="thin">
        <x:color rgb="FFEAEEF4"/>
      </x:bottom>
    </x:border>
    <x:border>
      <x:top style="thin">
        <x:color rgb="FFDFE4EC"/>
      </x:top>
    </x:border>
    <x:border>
      <x:right style="thin">
        <x:color rgb="FFDFE4EC"/>
      </x:right>
      <x:top style="thin">
        <x:color rgb="FFDFE4EC"/>
      </x:top>
    </x:border>
    <x:border>
      <x:right style="thin">
        <x:color rgb="FFDFE4EC"/>
      </x:right>
    </x:border>
    <x:border>
      <x:bottom style="thin">
        <x:color rgb="FFDFE4EC"/>
      </x:bottom>
    </x:border>
    <x:border>
      <x:right style="thin">
        <x:color rgb="FFDFE4EC"/>
      </x:right>
      <x:bottom style="thin">
        <x:color rgb="FFDFE4EC"/>
      </x:bottom>
    </x:border>
    <x:border>
      <x:left style="thick">
        <x:color rgb="FFEB6834"/>
      </x:left>
    </x:border>
    <x:border>
      <x:bottom style="double">
        <x:color rgb="FF172033"/>
      </x:bottom>
    </x:border>
    <x:border>
      <x:bottom style="thin">
        <x:color rgb="FFD9E1EC"/>
      </x:bottom>
    </x:border>
    <x:border>
      <x:left style="thin">
        <x:color rgb="FFD9E1EC"/>
      </x:left>
      <x:top style="thin">
        <x:color rgb="FFD9E1EC"/>
      </x:top>
      <x:bottom style="thin">
        <x:color rgb="FFD9E1EC"/>
      </x:bottom>
    </x:border>
    <x:border>
      <x:top style="thin">
        <x:color rgb="FFD9E1EC"/>
      </x:top>
      <x:bottom style="thin">
        <x:color rgb="FFD9E1EC"/>
      </x:bottom>
    </x:border>
    <x:border>
      <x:right style="thin">
        <x:color rgb="FFD9E1EC"/>
      </x:right>
      <x:top style="thin">
        <x:color rgb="FFD9E1EC"/>
      </x:top>
      <x:bottom style="thin">
        <x:color rgb="FFD9E1EC"/>
      </x:bottom>
    </x:border>
    <x:border>
      <x:left style="thin">
        <x:color rgb="FFD9E1EC"/>
      </x:left>
      <x:top style="thin">
        <x:color rgb="FFD9E1EC"/>
      </x:top>
    </x:border>
    <x:border>
      <x:right style="thin">
        <x:color rgb="FFD9E1EC"/>
      </x:right>
      <x:top style="thin">
        <x:color rgb="FFD9E1EC"/>
      </x:top>
    </x:border>
    <x:border>
      <x:left style="thin">
        <x:color rgb="FFD9E1EC"/>
      </x:left>
    </x:border>
    <x:border>
      <x:right style="thin">
        <x:color rgb="FFD9E1EC"/>
      </x:right>
    </x:border>
    <x:border>
      <x:left style="thin">
        <x:color rgb="FFD9E1EC"/>
      </x:left>
      <x:bottom style="thin">
        <x:color rgb="FFD9E1EC"/>
      </x:bottom>
    </x:border>
    <x:border>
      <x:right style="thin">
        <x:color rgb="FFD9E1EC"/>
      </x:right>
      <x:bottom style="thin">
        <x:color rgb="FFD9E1EC"/>
      </x:bottom>
    </x:border>
    <x:border>
      <x:left style="thin">
        <x:color rgb="FFD9E1EC"/>
      </x:left>
      <x:top style="medium">
        <x:color rgb="FF2A78D6"/>
      </x:top>
    </x:border>
    <x:border>
      <x:top style="medium">
        <x:color rgb="FF2A78D6"/>
      </x:top>
    </x:border>
    <x:border>
      <x:left style="thin">
        <x:color rgb="FFD9E1EC"/>
      </x:left>
      <x:top style="medium">
        <x:color rgb="FF1E9E89"/>
      </x:top>
    </x:border>
    <x:border>
      <x:top style="medium">
        <x:color rgb="FF1E9E89"/>
      </x:top>
    </x:border>
    <x:border>
      <x:left style="thin">
        <x:color rgb="FFD9E1EC"/>
      </x:left>
      <x:top style="medium">
        <x:color rgb="FFF28C45"/>
      </x:top>
    </x:border>
    <x:border>
      <x:top style="medium">
        <x:color rgb="FFF28C45"/>
      </x:top>
    </x:border>
    <x:border>
      <x:bottom style="thin">
        <x:color rgb="FFD7E0EB"/>
      </x:bottom>
    </x:border>
    <x:border>
      <x:left style="thin">
        <x:color rgb="FFD7E0EB"/>
      </x:left>
      <x:top style="thin">
        <x:color rgb="FFD7E0EB"/>
      </x:top>
      <x:bottom style="thin">
        <x:color rgb="FFD7E0EB"/>
      </x:bottom>
    </x:border>
    <x:border>
      <x:top style="thin">
        <x:color rgb="FFD7E0EB"/>
      </x:top>
      <x:bottom style="thin">
        <x:color rgb="FFD7E0EB"/>
      </x:bottom>
    </x:border>
    <x:border>
      <x:right style="thin">
        <x:color rgb="FFD7E0EB"/>
      </x:right>
      <x:top style="thin">
        <x:color rgb="FFD7E0EB"/>
      </x:top>
      <x:bottom style="thin">
        <x:color rgb="FFD7E0EB"/>
      </x:bottom>
    </x:border>
    <x:border>
      <x:left style="thin">
        <x:color rgb="FFD7E0EB"/>
      </x:left>
      <x:top style="thin">
        <x:color rgb="FFD7E0EB"/>
      </x:top>
    </x:border>
    <x:border>
      <x:top style="thin">
        <x:color rgb="FFD7E0EB"/>
      </x:top>
    </x:border>
    <x:border>
      <x:right style="thin">
        <x:color rgb="FFD7E0EB"/>
      </x:right>
      <x:top style="thin">
        <x:color rgb="FFD7E0EB"/>
      </x:top>
    </x:border>
    <x:border>
      <x:left style="thin">
        <x:color rgb="FFD7E0EB"/>
      </x:left>
    </x:border>
    <x:border>
      <x:right style="thin">
        <x:color rgb="FFD7E0EB"/>
      </x:right>
    </x:border>
    <x:border>
      <x:left style="thin">
        <x:color rgb="FFD7E0EB"/>
      </x:left>
      <x:bottom style="thin">
        <x:color rgb="FFD7E0EB"/>
      </x:bottom>
    </x:border>
    <x:border>
      <x:right style="thin">
        <x:color rgb="FFD7E0EB"/>
      </x:right>
      <x:bottom style="thin">
        <x:color rgb="FFD7E0EB"/>
      </x:bottom>
    </x:border>
    <x:border>
      <x:left style="thin">
        <x:color rgb="FFD7E0EB"/>
      </x:left>
      <x:top style="medium">
        <x:color rgb="FF23845A"/>
      </x:top>
    </x:border>
    <x:border>
      <x:top style="medium">
        <x:color rgb="FF23845A"/>
      </x:top>
    </x:border>
    <x:border>
      <x:right style="thin">
        <x:color rgb="FFD7E0EB"/>
      </x:right>
      <x:top style="medium">
        <x:color rgb="FF23845A"/>
      </x:top>
    </x:border>
    <x:border>
      <x:left style="thin">
        <x:color rgb="FFD7E0EB"/>
      </x:left>
      <x:top style="medium">
        <x:color rgb="FF2A78D6"/>
      </x:top>
    </x:border>
    <x:border>
      <x:right style="thin">
        <x:color rgb="FFD7E0EB"/>
      </x:right>
      <x:top style="medium">
        <x:color rgb="FF2A78D6"/>
      </x:top>
    </x:border>
    <x:border>
      <x:left style="thin">
        <x:color rgb="FFD7E0EB"/>
      </x:left>
      <x:top style="medium">
        <x:color rgb="FFE39A2D"/>
      </x:top>
    </x:border>
    <x:border>
      <x:top style="medium">
        <x:color rgb="FFE39A2D"/>
      </x:top>
    </x:border>
    <x:border>
      <x:right style="thin">
        <x:color rgb="FFD7E0EB"/>
      </x:right>
      <x:top style="medium">
        <x:color rgb="FFE39A2D"/>
      </x:top>
    </x:border>
    <x:border>
      <x:left style="thin">
        <x:color rgb="FFD7E0EB"/>
      </x:left>
      <x:top style="medium">
        <x:color rgb="FFC84343"/>
      </x:top>
    </x:border>
    <x:border>
      <x:top style="medium">
        <x:color rgb="FFC84343"/>
      </x:top>
    </x:border>
    <x:border>
      <x:right style="thin">
        <x:color rgb="FFD7E0EB"/>
      </x:right>
      <x:top style="medium">
        <x:color rgb="FFC84343"/>
      </x:top>
    </x:border>
    <x:border>
      <x:left style="thin">
        <x:color rgb="FFD7E0EB"/>
      </x:left>
      <x:top style="medium">
        <x:color rgb="FF7557C8"/>
      </x:top>
    </x:border>
    <x:border>
      <x:top style="medium">
        <x:color rgb="FF7557C8"/>
      </x:top>
    </x:border>
    <x:border>
      <x:right style="thin">
        <x:color rgb="FFD7E0EB"/>
      </x:right>
      <x:top style="medium">
        <x:color rgb="FF7557C8"/>
      </x:top>
    </x:border>
  </x:borders>
  <x:cellStyleXfs count="1">
    <x:xf numFmtId="0" fontId="0" fillId="0" borderId="0"/>
  </x:cellStyleXfs>
  <x:cellXfs count="689">
    <x:xf numFmtId="0" fontId="0" fillId="0" borderId="0" xfId="0"/>
    <x:xf numFmtId="0" fontId="1" fillId="2" borderId="0" xfId="0" applyFont="1" applyFill="1"/>
    <x:xf numFmtId="0" fontId="0" fillId="2" borderId="0" xfId="0" applyFill="1"/>
    <x:xf numFmtId="0" fontId="2" fillId="0" borderId="0" xfId="0" applyFont="1"/>
    <x:xf numFmtId="0" fontId="3" fillId="3" borderId="1" xfId="0" applyFont="1" applyFill="1" applyBorder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5" fillId="0" borderId="0" xfId="0" applyFont="1" applyAlignment="1">
      <x:alignment horizontal="left" vertical="center"/>
    </x:xf>
    <x:xf numFmtId="0" fontId="4" fillId="0" borderId="2" xfId="0" applyFont="1" applyBorder="1" applyAlignment="1">
      <x:alignment horizontal="left" vertical="center"/>
    </x:xf>
    <x:xf numFmtId="3" fontId="4" fillId="0" borderId="2" xfId="0" applyNumberFormat="1" applyFont="1" applyBorder="1" applyAlignment="1">
      <x:alignment horizontal="right" vertical="center"/>
    </x:xf>
    <x:xf numFmtId="9" fontId="4" fillId="0" borderId="2" xfId="0" applyNumberFormat="1" applyFont="1" applyBorder="1" applyAlignment="1">
      <x:alignment horizontal="right" vertical="center"/>
    </x:xf>
    <x:xf numFmtId="0" fontId="5" fillId="0" borderId="0" xfId="0" applyFont="1"/>
    <x:xf numFmtId="3" fontId="5" fillId="0" borderId="3" xfId="0" applyNumberFormat="1" applyFont="1" applyBorder="1" applyAlignment="1">
      <x:alignment horizontal="right" vertical="center"/>
    </x:xf>
    <x:xf numFmtId="3" fontId="5" fillId="0" borderId="2" xfId="0" applyNumberFormat="1" applyFont="1" applyBorder="1" applyAlignment="1">
      <x:alignment horizontal="right" vertical="center"/>
    </x:xf>
    <x:xf numFmtId="164" fontId="5" fillId="0" borderId="2" xfId="0" applyNumberFormat="1" applyFont="1" applyBorder="1" applyAlignment="1">
      <x:alignment horizontal="right" vertical="center"/>
    </x:xf>
    <x:xf numFmtId="0" fontId="6" fillId="0" borderId="0" xfId="0" applyFont="1" applyAlignment="1">
      <x:alignment horizontal="left" vertical="center"/>
    </x:xf>
    <x:xf numFmtId="3" fontId="6" fillId="0" borderId="0" xfId="0" applyNumberFormat="1" applyFont="1" applyAlignment="1">
      <x:alignment horizontal="right" vertical="center"/>
    </x:xf>
    <x:xf numFmtId="1" fontId="6" fillId="0" borderId="0" xfId="0" applyNumberFormat="1" applyFont="1" applyAlignment="1">
      <x:alignment horizontal="center" vertical="center"/>
    </x:xf>
    <x:xf numFmtId="165" fontId="6" fillId="0" borderId="0" xfId="0" applyNumberFormat="1" applyFont="1" applyAlignment="1">
      <x:alignment horizontal="right" vertical="center"/>
    </x:xf>
    <x:xf numFmtId="0" fontId="7" fillId="0" borderId="0" xfId="0" applyFont="1"/>
    <x:xf numFmtId="0" fontId="0" fillId="4" borderId="0" xfId="0" applyFill="1"/>
    <x:xf numFmtId="0" fontId="8" fillId="5" borderId="4" xfId="0" applyFont="1" applyFill="1" applyBorder="1" applyAlignment="1">
      <x:alignment horizontal="left" vertical="center"/>
    </x:xf>
    <x:xf numFmtId="0" fontId="0" fillId="5" borderId="5" xfId="0" applyFill="1" applyBorder="1"/>
    <x:xf numFmtId="0" fontId="10" fillId="5" borderId="6" xfId="0" applyFont="1" applyFill="1" applyBorder="1" applyAlignment="1">
      <x:alignment horizontal="right" vertical="center"/>
    </x:xf>
    <x:xf numFmtId="0" fontId="9" fillId="5" borderId="7" xfId="0" applyFont="1" applyFill="1" applyBorder="1" applyAlignment="1">
      <x:alignment horizontal="left" vertical="center"/>
    </x:xf>
    <x:xf numFmtId="0" fontId="0" fillId="5" borderId="2" xfId="0" applyFill="1" applyBorder="1"/>
    <x:xf numFmtId="0" fontId="0" fillId="5" borderId="8" xfId="0" applyFill="1" applyBorder="1"/>
    <x:xf numFmtId="0" fontId="6" fillId="5" borderId="9" xfId="0" applyFont="1" applyFill="1" applyBorder="1" applyAlignment="1">
      <x:alignment horizontal="left" vertical="center"/>
    </x:xf>
    <x:xf numFmtId="0" fontId="5" fillId="5" borderId="10" xfId="0" applyFont="1" applyFill="1" applyBorder="1" applyAlignment="1">
      <x:alignment horizontal="left" vertical="center"/>
    </x:xf>
    <x:xf numFmtId="0" fontId="6" fillId="6" borderId="11" xfId="0" applyFont="1" applyFill="1" applyBorder="1" applyAlignment="1">
      <x:alignment horizontal="left" vertical="center"/>
    </x:xf>
    <x:xf numFmtId="0" fontId="2" fillId="6" borderId="12" xfId="0" applyFont="1" applyFill="1" applyBorder="1" applyAlignment="1">
      <x:alignment horizontal="left" vertical="center"/>
    </x:xf>
    <x:xf numFmtId="0" fontId="11" fillId="5" borderId="4" xfId="0" applyFont="1" applyFill="1" applyBorder="1" applyAlignment="1">
      <x:alignment horizontal="left" vertical="center"/>
    </x:xf>
    <x:xf numFmtId="0" fontId="0" fillId="5" borderId="6" xfId="0" applyFill="1" applyBorder="1"/>
    <x:xf numFmtId="0" fontId="11" fillId="5" borderId="15" xfId="0" applyFont="1" applyFill="1" applyBorder="1" applyAlignment="1">
      <x:alignment horizontal="left" vertical="center"/>
    </x:xf>
    <x:xf numFmtId="0" fontId="0" fillId="5" borderId="16" xfId="0" applyFill="1" applyBorder="1"/>
    <x:xf numFmtId="166" fontId="12" fillId="5" borderId="13" xfId="0" applyNumberFormat="1" applyFont="1" applyFill="1" applyBorder="1" applyAlignment="1">
      <x:alignment horizontal="left" vertical="center"/>
    </x:xf>
    <x:xf numFmtId="0" fontId="0" fillId="5" borderId="14" xfId="0" applyFill="1" applyBorder="1"/>
    <x:xf numFmtId="164" fontId="12" fillId="5" borderId="13" xfId="0" applyNumberFormat="1" applyFont="1" applyFill="1" applyBorder="1" applyAlignment="1">
      <x:alignment horizontal="left" vertical="center"/>
    </x:xf>
    <x:xf numFmtId="3" fontId="12" fillId="5" borderId="13" xfId="0" applyNumberFormat="1" applyFont="1" applyFill="1" applyBorder="1" applyAlignment="1">
      <x:alignment horizontal="left" vertical="center"/>
    </x:xf>
    <x:xf numFmtId="169" fontId="12" fillId="5" borderId="17" xfId="0" applyNumberFormat="1" applyFont="1" applyFill="1" applyBorder="1" applyAlignment="1">
      <x:alignment horizontal="left" vertical="center"/>
    </x:xf>
    <x:xf numFmtId="0" fontId="0" fillId="5" borderId="18" xfId="0" applyFill="1" applyBorder="1"/>
    <x:xf numFmtId="9" fontId="12" fillId="5" borderId="13" xfId="0" applyNumberFormat="1" applyFont="1" applyFill="1" applyBorder="1" applyAlignment="1">
      <x:alignment horizontal="left" vertical="center"/>
    </x:xf>
    <x:xf numFmtId="167" fontId="5" fillId="5" borderId="7" xfId="0" applyNumberFormat="1" applyFont="1" applyFill="1" applyBorder="1" applyAlignment="1">
      <x:alignment horizontal="left" vertical="center"/>
    </x:xf>
    <x:xf numFmtId="168" fontId="5" fillId="5" borderId="7" xfId="0" applyNumberFormat="1" applyFont="1" applyFill="1" applyBorder="1" applyAlignment="1">
      <x:alignment horizontal="left" vertical="center"/>
    </x:xf>
    <x:xf numFmtId="167" fontId="5" fillId="5" borderId="19" xfId="0" applyNumberFormat="1" applyFont="1" applyFill="1" applyBorder="1" applyAlignment="1">
      <x:alignment horizontal="left" vertical="center"/>
    </x:xf>
    <x:xf numFmtId="0" fontId="0" fillId="5" borderId="20" xfId="0" applyFill="1" applyBorder="1"/>
    <x:xf numFmtId="0" fontId="13" fillId="5" borderId="4" xfId="0" applyFont="1" applyFill="1" applyBorder="1" applyAlignment="1">
      <x:alignment horizontal="left" vertical="center"/>
    </x:xf>
    <x:xf numFmtId="0" fontId="14" fillId="5" borderId="6" xfId="0" applyFont="1" applyFill="1" applyBorder="1" applyAlignment="1">
      <x:alignment horizontal="right" vertical="center"/>
    </x:xf>
    <x:xf numFmtId="0" fontId="0" fillId="5" borderId="13" xfId="0" applyFill="1" applyBorder="1"/>
    <x:xf numFmtId="0" fontId="0" fillId="5" borderId="21" xfId="0" applyFill="1" applyBorder="1"/>
    <x:xf numFmtId="0" fontId="0" fillId="5" borderId="7" xfId="0" applyFill="1" applyBorder="1"/>
    <x:xf numFmtId="0" fontId="11" fillId="7" borderId="22" xfId="0" applyFont="1" applyFill="1" applyBorder="1" applyAlignment="1">
      <x:alignment horizontal="left" vertical="center"/>
    </x:xf>
    <x:xf numFmtId="0" fontId="11" fillId="7" borderId="22" xfId="0" applyFont="1" applyFill="1" applyBorder="1" applyAlignment="1">
      <x:alignment horizontal="right" vertical="center"/>
    </x:xf>
    <x:xf numFmtId="0" fontId="15" fillId="7" borderId="23" xfId="0" applyFont="1" applyFill="1" applyBorder="1" applyAlignment="1">
      <x:alignment horizontal="left" vertical="center"/>
    </x:xf>
    <x:xf numFmtId="3" fontId="16" fillId="7" borderId="23" xfId="0" applyNumberFormat="1" applyFont="1" applyFill="1" applyBorder="1" applyAlignment="1">
      <x:alignment horizontal="right" vertical="center"/>
    </x:xf>
    <x:xf numFmtId="167" fontId="16" fillId="7" borderId="23" xfId="0" applyNumberFormat="1" applyFont="1" applyFill="1" applyBorder="1" applyAlignment="1">
      <x:alignment horizontal="right" vertical="center"/>
    </x:xf>
    <x:xf numFmtId="170" fontId="16" fillId="7" borderId="23" xfId="0" applyNumberFormat="1" applyFont="1" applyFill="1" applyBorder="1" applyAlignment="1">
      <x:alignment horizontal="right" vertical="center"/>
    </x:xf>
    <x:xf numFmtId="168" fontId="16" fillId="7" borderId="23" xfId="0" applyNumberFormat="1" applyFont="1" applyFill="1" applyBorder="1" applyAlignment="1">
      <x:alignment horizontal="right" vertical="center"/>
    </x:xf>
    <x:xf numFmtId="9" fontId="16" fillId="7" borderId="23" xfId="0" applyNumberFormat="1" applyFont="1" applyFill="1" applyBorder="1" applyAlignment="1">
      <x:alignment horizontal="right" vertical="center"/>
    </x:xf>
    <x:xf numFmtId="0" fontId="17" fillId="7" borderId="23" xfId="0" applyFont="1" applyFill="1" applyBorder="1" applyAlignment="1">
      <x:alignment horizontal="center" vertical="center"/>
    </x:xf>
    <x:xf numFmtId="0" fontId="5" fillId="5" borderId="23" xfId="0" applyFont="1" applyFill="1" applyBorder="1" applyAlignment="1">
      <x:alignment horizontal="left" vertical="center"/>
    </x:xf>
    <x:xf numFmtId="3" fontId="16" fillId="5" borderId="23" xfId="0" applyNumberFormat="1" applyFont="1" applyFill="1" applyBorder="1" applyAlignment="1">
      <x:alignment horizontal="right" vertical="center"/>
    </x:xf>
    <x:xf numFmtId="167" fontId="16" fillId="5" borderId="23" xfId="0" applyNumberFormat="1" applyFont="1" applyFill="1" applyBorder="1" applyAlignment="1">
      <x:alignment horizontal="right" vertical="center"/>
    </x:xf>
    <x:xf numFmtId="170" fontId="16" fillId="5" borderId="23" xfId="0" applyNumberFormat="1" applyFont="1" applyFill="1" applyBorder="1" applyAlignment="1">
      <x:alignment horizontal="right" vertical="center"/>
    </x:xf>
    <x:xf numFmtId="168" fontId="16" fillId="5" borderId="23" xfId="0" applyNumberFormat="1" applyFont="1" applyFill="1" applyBorder="1" applyAlignment="1">
      <x:alignment horizontal="right" vertical="center"/>
    </x:xf>
    <x:xf numFmtId="9" fontId="16" fillId="5" borderId="23" xfId="0" applyNumberFormat="1" applyFont="1" applyFill="1" applyBorder="1" applyAlignment="1">
      <x:alignment horizontal="right" vertical="center"/>
    </x:xf>
    <x:xf numFmtId="0" fontId="17" fillId="5" borderId="23" xfId="0" applyFont="1" applyFill="1" applyBorder="1" applyAlignment="1">
      <x:alignment horizontal="center" vertical="center"/>
    </x:xf>
    <x:xf numFmtId="0" fontId="18" fillId="5" borderId="23" xfId="0" applyFont="1" applyFill="1" applyBorder="1" applyAlignment="1">
      <x:alignment horizontal="left" vertical="center"/>
    </x:xf>
    <x:xf numFmtId="3" fontId="19" fillId="5" borderId="23" xfId="0" applyNumberFormat="1" applyFont="1" applyFill="1" applyBorder="1" applyAlignment="1">
      <x:alignment horizontal="right" vertical="center"/>
    </x:xf>
    <x:xf numFmtId="167" fontId="19" fillId="5" borderId="23" xfId="0" applyNumberFormat="1" applyFont="1" applyFill="1" applyBorder="1" applyAlignment="1">
      <x:alignment horizontal="right" vertical="center"/>
    </x:xf>
    <x:xf numFmtId="170" fontId="19" fillId="5" borderId="23" xfId="0" applyNumberFormat="1" applyFont="1" applyFill="1" applyBorder="1" applyAlignment="1">
      <x:alignment horizontal="right" vertical="center"/>
    </x:xf>
    <x:xf numFmtId="168" fontId="19" fillId="5" borderId="23" xfId="0" applyNumberFormat="1" applyFont="1" applyFill="1" applyBorder="1" applyAlignment="1">
      <x:alignment horizontal="right" vertical="center"/>
    </x:xf>
    <x:xf numFmtId="9" fontId="19" fillId="5" borderId="23" xfId="0" applyNumberFormat="1" applyFont="1" applyFill="1" applyBorder="1" applyAlignment="1">
      <x:alignment horizontal="right" vertical="center"/>
    </x:xf>
    <x:xf numFmtId="0" fontId="14" fillId="4" borderId="0" xfId="0" applyFont="1" applyFill="1" applyAlignment="1">
      <x:alignment horizontal="left" vertical="center"/>
    </x:xf>
    <x:xf numFmtId="0" fontId="18" fillId="7" borderId="29" xfId="0" applyFont="1" applyFill="1" applyBorder="1" applyAlignment="1">
      <x:alignment horizontal="left" vertical="top" wrapText="1"/>
    </x:xf>
    <x:xf numFmtId="0" fontId="0" fillId="0" borderId="24" xfId="0" applyBorder="1"/>
    <x:xf numFmtId="0" fontId="0" fillId="0" borderId="25" xfId="0" applyBorder="1"/>
    <x:xf numFmtId="0" fontId="0" fillId="0" borderId="29" xfId="0" applyBorder="1"/>
    <x:xf numFmtId="0" fontId="0" fillId="0" borderId="0" xfId="0"/>
    <x:xf numFmtId="0" fontId="0" fillId="0" borderId="26" xfId="0" applyBorder="1"/>
    <x:xf numFmtId="0" fontId="0" fillId="0" borderId="27" xfId="0" applyBorder="1"/>
    <x:xf numFmtId="0" fontId="0" fillId="0" borderId="28" xfId="0" applyBorder="1"/>
    <x:xf numFmtId="0" fontId="20" fillId="2" borderId="0" xfId="0" applyNumberFormat="1" applyFont="1" applyFill="1" applyBorder="1"/>
    <x:xf numFmtId="0" fontId="21" fillId="2" borderId="0" xfId="0" applyNumberFormat="1" applyFont="1" applyFill="1" applyBorder="1"/>
    <x:xf numFmtId="0" fontId="21" fillId="0" borderId="0" xfId="0" applyNumberFormat="1" applyFont="1" applyFill="1" applyBorder="1"/>
    <x:xf numFmtId="0" fontId="20" fillId="0" borderId="0" xfId="0" applyNumberFormat="1" applyFont="1" applyFill="1" applyBorder="1"/>
    <x:xf numFmtId="0" fontId="20" fillId="3" borderId="1" xfId="0" applyNumberFormat="1" applyFont="1" applyFill="1" applyBorder="1" applyAlignment="1">
      <x:alignment horizontal="center" vertical="center"/>
    </x:xf>
    <x:xf numFmtId="0" fontId="21" fillId="0" borderId="0" xfId="0" applyNumberFormat="1" applyFont="1" applyFill="1" applyBorder="1" applyAlignment="1">
      <x:alignment horizontal="left" vertical="center"/>
    </x:xf>
    <x:xf numFmtId="0" fontId="20" fillId="0" borderId="0" xfId="0" applyNumberFormat="1" applyFont="1" applyFill="1" applyBorder="1" applyAlignment="1">
      <x:alignment horizontal="left" vertical="center"/>
    </x:xf>
    <x:xf numFmtId="0" fontId="21" fillId="0" borderId="2" xfId="0" applyNumberFormat="1" applyFont="1" applyFill="1" applyBorder="1" applyAlignment="1">
      <x:alignment horizontal="left" vertical="center"/>
    </x:xf>
    <x:xf numFmtId="3" fontId="21" fillId="0" borderId="2" xfId="0" applyNumberFormat="1" applyFont="1" applyFill="1" applyBorder="1" applyAlignment="1">
      <x:alignment horizontal="right" vertical="center"/>
    </x:xf>
    <x:xf numFmtId="9" fontId="21" fillId="0" borderId="2" xfId="0" applyNumberFormat="1" applyFont="1" applyFill="1" applyBorder="1" applyAlignment="1">
      <x:alignment horizontal="right" vertical="center"/>
    </x:xf>
    <x:xf numFmtId="3" fontId="20" fillId="0" borderId="3" xfId="0" applyNumberFormat="1" applyFont="1" applyFill="1" applyBorder="1" applyAlignment="1">
      <x:alignment horizontal="right" vertical="center"/>
    </x:xf>
    <x:xf numFmtId="3" fontId="20" fillId="0" borderId="2" xfId="0" applyNumberFormat="1" applyFont="1" applyFill="1" applyBorder="1" applyAlignment="1">
      <x:alignment horizontal="right" vertical="center"/>
    </x:xf>
    <x:xf numFmtId="164" fontId="20" fillId="0" borderId="2" xfId="0" applyNumberFormat="1" applyFont="1" applyFill="1" applyBorder="1" applyAlignment="1">
      <x:alignment horizontal="right" vertical="center"/>
    </x:xf>
    <x:xf numFmtId="3" fontId="21" fillId="0" borderId="0" xfId="0" applyNumberFormat="1" applyFont="1" applyFill="1" applyBorder="1" applyAlignment="1">
      <x:alignment horizontal="right" vertical="center"/>
    </x:xf>
    <x:xf numFmtId="1" fontId="21" fillId="0" borderId="0" xfId="0" applyNumberFormat="1" applyFont="1" applyFill="1" applyBorder="1" applyAlignment="1">
      <x:alignment horizontal="center" vertical="center"/>
    </x:xf>
    <x:xf numFmtId="165" fontId="21" fillId="0" borderId="0" xfId="0" applyNumberFormat="1" applyFont="1" applyFill="1" applyBorder="1" applyAlignment="1">
      <x:alignment horizontal="right" vertical="center"/>
    </x:xf>
    <x:xf numFmtId="0" fontId="20" fillId="8" borderId="0" xfId="0" applyNumberFormat="1" applyFont="1" applyFill="1" applyBorder="1"/>
    <x:xf numFmtId="0" fontId="21" fillId="8" borderId="0" xfId="0" applyNumberFormat="1" applyFont="1" applyFill="1" applyBorder="1"/>
    <x:xf numFmtId="0" fontId="22" fillId="8" borderId="0" xfId="0" applyNumberFormat="1" applyFont="1" applyFill="1" applyBorder="1"/>
    <x:xf numFmtId="0" fontId="22" fillId="8" borderId="0" xfId="0" applyNumberFormat="1" applyFont="1" applyFill="1" applyBorder="1" applyAlignment="1">
      <x:alignment vertical="center"/>
    </x:xf>
    <x:xf numFmtId="0" fontId="20" fillId="9" borderId="0" xfId="0" applyNumberFormat="1" applyFont="1" applyFill="1" applyBorder="1"/>
    <x:xf numFmtId="0" fontId="21" fillId="9" borderId="0" xfId="0" applyNumberFormat="1" applyFont="1" applyFill="1" applyBorder="1"/>
    <x:xf numFmtId="0" fontId="23" fillId="9" borderId="0" xfId="0" applyNumberFormat="1" applyFont="1" applyFill="1" applyBorder="1"/>
    <x:xf numFmtId="0" fontId="23" fillId="9" borderId="0" xfId="0" applyNumberFormat="1" applyFont="1" applyFill="1" applyBorder="1" applyAlignment="1">
      <x:alignment vertical="center"/>
    </x:xf>
    <x:xf numFmtId="0" fontId="20" fillId="10" borderId="1" xfId="0" applyNumberFormat="1" applyFont="1" applyFill="1" applyBorder="1" applyAlignment="1">
      <x:alignment horizontal="center" vertical="center"/>
    </x:xf>
    <x:xf numFmtId="0" fontId="24" fillId="10" borderId="1" xfId="0" applyNumberFormat="1" applyFont="1" applyFill="1" applyBorder="1" applyAlignment="1">
      <x:alignment horizontal="center" vertical="center"/>
    </x:xf>
    <x:xf numFmtId="0" fontId="21" fillId="10" borderId="0" xfId="0" applyNumberFormat="1" applyFont="1" applyFill="1" applyBorder="1"/>
    <x:xf numFmtId="0" fontId="24" fillId="10" borderId="0" xfId="0" applyNumberFormat="1" applyFont="1" applyFill="1" applyBorder="1"/>
    <x:xf numFmtId="0" fontId="24" fillId="10" borderId="0" xfId="0" applyNumberFormat="1" applyFont="1" applyFill="1" applyBorder="1" applyAlignment="1">
      <x:alignment horizontal="center"/>
    </x:xf>
    <x:xf numFmtId="0" fontId="24" fillId="10" borderId="0" xfId="0" applyNumberFormat="1" applyFont="1" applyFill="1" applyBorder="1" applyAlignment="1">
      <x:alignment horizontal="center" vertical="center"/>
    </x:xf>
    <x:xf numFmtId="3" fontId="21" fillId="11" borderId="2" xfId="0" applyNumberFormat="1" applyFont="1" applyFill="1" applyBorder="1" applyAlignment="1">
      <x:alignment horizontal="right" vertical="center"/>
    </x:xf>
    <x:xf numFmtId="9" fontId="21" fillId="11" borderId="2" xfId="0" applyNumberFormat="1" applyFont="1" applyFill="1" applyBorder="1" applyAlignment="1">
      <x:alignment horizontal="right" vertical="center"/>
    </x:xf>
    <x:xf numFmtId="0" fontId="21" fillId="12" borderId="0" xfId="0" applyNumberFormat="1" applyFont="1" applyFill="1" applyBorder="1"/>
    <x:xf numFmtId="0" fontId="20" fillId="12" borderId="0" xfId="0" applyNumberFormat="1" applyFont="1" applyFill="1" applyBorder="1"/>
    <x:xf numFmtId="0" fontId="20" fillId="0" borderId="30" xfId="0" applyNumberFormat="1" applyFont="1" applyFill="1" applyBorder="1"/>
    <x:xf numFmtId="0" fontId="21" fillId="0" borderId="30" xfId="0" applyNumberFormat="1" applyFont="1" applyFill="1" applyBorder="1"/>
    <x:xf numFmtId="3" fontId="20" fillId="0" borderId="30" xfId="0" applyNumberFormat="1" applyFont="1" applyFill="1" applyBorder="1" applyAlignment="1">
      <x:alignment horizontal="right" vertical="center"/>
    </x:xf>
    <x:xf numFmtId="0" fontId="20" fillId="12" borderId="30" xfId="0" applyNumberFormat="1" applyFont="1" applyFill="1" applyBorder="1"/>
    <x:xf numFmtId="200" fontId="20" fillId="9" borderId="0" xfId="0" applyNumberFormat="1" applyFont="1" applyFill="1" applyBorder="1"/>
    <x:xf numFmtId="201" fontId="21" fillId="11" borderId="2" xfId="0" applyNumberFormat="1" applyFont="1" applyFill="1" applyBorder="1" applyAlignment="1">
      <x:alignment horizontal="right" vertical="center"/>
    </x:xf>
    <x:xf numFmtId="201" fontId="20" fillId="0" borderId="30" xfId="0" applyNumberFormat="1" applyFont="1" applyFill="1" applyBorder="1" applyAlignment="1">
      <x:alignment horizontal="right" vertical="center"/>
    </x:xf>
    <x:xf numFmtId="164" fontId="21" fillId="11" borderId="2" xfId="0" applyNumberFormat="1" applyFont="1" applyFill="1" applyBorder="1" applyAlignment="1">
      <x:alignment horizontal="right" vertical="center"/>
    </x:xf>
    <x:xf numFmtId="201" fontId="21" fillId="12" borderId="0" xfId="0" applyNumberFormat="1" applyFont="1" applyFill="1" applyBorder="1"/>
    <x:xf numFmtId="201" fontId="20" fillId="12" borderId="30" xfId="0" applyNumberFormat="1" applyFont="1" applyFill="1" applyBorder="1"/>
    <x:xf numFmtId="200" fontId="21" fillId="0" borderId="2" xfId="0" applyNumberFormat="1" applyFont="1" applyFill="1" applyBorder="1" applyAlignment="1">
      <x:alignment horizontal="right" vertical="center"/>
    </x:xf>
    <x:xf numFmtId="201" fontId="21" fillId="0" borderId="2" xfId="0" applyNumberFormat="1" applyFont="1" applyFill="1" applyBorder="1" applyAlignment="1">
      <x:alignment horizontal="right" vertical="center"/>
    </x:xf>
    <x:xf numFmtId="164" fontId="21" fillId="0" borderId="2" xfId="0" applyNumberFormat="1" applyFont="1" applyFill="1" applyBorder="1" applyAlignment="1">
      <x:alignment horizontal="right" vertical="center"/>
    </x:xf>
    <x:xf numFmtId="200" fontId="20" fillId="0" borderId="2" xfId="0" applyNumberFormat="1" applyFont="1" applyFill="1" applyBorder="1" applyAlignment="1">
      <x:alignment horizontal="right" vertical="center"/>
    </x:xf>
    <x:xf numFmtId="164" fontId="21" fillId="0" borderId="0" xfId="0" applyNumberFormat="1" applyFont="1" applyFill="1" applyBorder="1"/>
    <x:xf numFmtId="0" fontId="25" fillId="0" borderId="0" xfId="0" applyNumberFormat="1" applyFont="1" applyFill="1" applyBorder="1"/>
    <x:xf numFmtId="0" fontId="26" fillId="0" borderId="0" xfId="0" applyNumberFormat="1" applyFont="1" applyFill="1" applyBorder="1"/>
    <x:xf numFmtId="0" fontId="25" fillId="0" borderId="0" xfId="0" applyNumberFormat="1" applyFont="1" applyFill="1" applyBorder="1" applyAlignment="1">
      <x:alignment wrapText="1"/>
    </x:xf>
    <x:xf numFmtId="0" fontId="26" fillId="0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21" fillId="13" borderId="0" xfId="0" applyNumberFormat="1" applyFont="1" applyFill="1" applyBorder="1"/>
    <x:xf numFmtId="0" fontId="21" fillId="14" borderId="0" xfId="0" applyNumberFormat="1" applyFont="1" applyFill="1" applyBorder="1"/>
    <x:xf numFmtId="0" fontId="27" fillId="14" borderId="0" xfId="0" applyNumberFormat="1" applyFont="1" applyFill="1" applyBorder="1"/>
    <x:xf numFmtId="0" fontId="27" fillId="14" borderId="0" xfId="0" applyNumberFormat="1" applyFont="1" applyFill="1" applyBorder="1" applyAlignment="1">
      <x:alignment vertical="center"/>
    </x:xf>
    <x:xf numFmtId="0" fontId="21" fillId="15" borderId="0" xfId="0" applyNumberFormat="1" applyFont="1" applyFill="1" applyBorder="1"/>
    <x:xf numFmtId="0" fontId="28" fillId="15" borderId="0" xfId="0" applyNumberFormat="1" applyFont="1" applyFill="1" applyBorder="1"/>
    <x:xf numFmtId="0" fontId="28" fillId="15" borderId="31" xfId="0" applyNumberFormat="1" applyFont="1" applyFill="1" applyBorder="1"/>
    <x:xf numFmtId="0" fontId="28" fillId="15" borderId="31" xfId="0" applyNumberFormat="1" applyFont="1" applyFill="1" applyBorder="1" applyAlignment="1">
      <x:alignment vertical="center"/>
    </x:xf>
    <x:xf numFmtId="0" fontId="29" fillId="15" borderId="31" xfId="0" applyNumberFormat="1" applyFont="1" applyFill="1" applyBorder="1" applyAlignment="1">
      <x:alignment vertical="center"/>
    </x:xf>
    <x:xf numFmtId="0" fontId="29" fillId="15" borderId="31" xfId="0" applyNumberFormat="1" applyFont="1" applyFill="1" applyBorder="1" applyAlignment="1">
      <x:alignment horizontal="right" vertical="center"/>
    </x:xf>
    <x:xf numFmtId="0" fontId="21" fillId="16" borderId="0" xfId="0" applyNumberFormat="1" applyFont="1" applyFill="1" applyBorder="1"/>
    <x:xf numFmtId="0" fontId="30" fillId="16" borderId="0" xfId="0" applyNumberFormat="1" applyFont="1" applyFill="1" applyBorder="1"/>
    <x:xf numFmtId="0" fontId="20" fillId="15" borderId="0" xfId="0" applyNumberFormat="1" applyFont="1" applyFill="1" applyBorder="1"/>
    <x:xf numFmtId="0" fontId="30" fillId="16" borderId="32" xfId="0" applyNumberFormat="1" applyFont="1" applyFill="1" applyBorder="1"/>
    <x:xf numFmtId="0" fontId="20" fillId="15" borderId="33" xfId="0" applyNumberFormat="1" applyFont="1" applyFill="1" applyBorder="1"/>
    <x:xf numFmtId="0" fontId="30" fillId="16" borderId="33" xfId="0" applyNumberFormat="1" applyFont="1" applyFill="1" applyBorder="1"/>
    <x:xf numFmtId="0" fontId="20" fillId="15" borderId="34" xfId="0" applyNumberFormat="1" applyFont="1" applyFill="1" applyBorder="1"/>
    <x:xf numFmtId="0" fontId="30" fillId="16" borderId="32" xfId="0" applyNumberFormat="1" applyFont="1" applyFill="1" applyBorder="1" applyAlignment="1">
      <x:alignment vertical="center"/>
    </x:xf>
    <x:xf numFmtId="0" fontId="20" fillId="15" borderId="33" xfId="0" applyNumberFormat="1" applyFont="1" applyFill="1" applyBorder="1" applyAlignment="1">
      <x:alignment vertical="center"/>
    </x:xf>
    <x:xf numFmtId="0" fontId="30" fillId="16" borderId="33" xfId="0" applyNumberFormat="1" applyFont="1" applyFill="1" applyBorder="1" applyAlignment="1">
      <x:alignment vertical="center"/>
    </x:xf>
    <x:xf numFmtId="0" fontId="20" fillId="15" borderId="34" xfId="0" applyNumberFormat="1" applyFont="1" applyFill="1" applyBorder="1" applyAlignment="1">
      <x:alignment vertical="center"/>
    </x:xf>
    <x:xf numFmtId="0" fontId="21" fillId="15" borderId="35" xfId="0" applyNumberFormat="1" applyFont="1" applyFill="1" applyBorder="1"/>
    <x:xf numFmtId="0" fontId="21" fillId="15" borderId="36" xfId="0" applyNumberFormat="1" applyFont="1" applyFill="1" applyBorder="1"/>
    <x:xf numFmtId="0" fontId="21" fillId="15" borderId="37" xfId="0" applyNumberFormat="1" applyFont="1" applyFill="1" applyBorder="1"/>
    <x:xf numFmtId="0" fontId="21" fillId="15" borderId="38" xfId="0" applyNumberFormat="1" applyFont="1" applyFill="1" applyBorder="1"/>
    <x:xf numFmtId="0" fontId="21" fillId="15" borderId="39" xfId="0" applyNumberFormat="1" applyFont="1" applyFill="1" applyBorder="1"/>
    <x:xf numFmtId="0" fontId="21" fillId="15" borderId="40" xfId="0" applyNumberFormat="1" applyFont="1" applyFill="1" applyBorder="1"/>
    <x:xf numFmtId="0" fontId="31" fillId="15" borderId="35" xfId="0" applyNumberFormat="1" applyFont="1" applyFill="1" applyBorder="1"/>
    <x:xf numFmtId="0" fontId="31" fillId="15" borderId="36" xfId="0" applyNumberFormat="1" applyFont="1" applyFill="1" applyBorder="1"/>
    <x:xf numFmtId="0" fontId="31" fillId="15" borderId="41" xfId="0" applyNumberFormat="1" applyFont="1" applyFill="1" applyBorder="1"/>
    <x:xf numFmtId="0" fontId="31" fillId="15" borderId="42" xfId="0" applyNumberFormat="1" applyFont="1" applyFill="1" applyBorder="1"/>
    <x:xf numFmtId="0" fontId="32" fillId="15" borderId="37" xfId="0" applyNumberFormat="1" applyFont="1" applyFill="1" applyBorder="1"/>
    <x:xf numFmtId="0" fontId="32" fillId="15" borderId="38" xfId="0" applyNumberFormat="1" applyFont="1" applyFill="1" applyBorder="1"/>
    <x:xf numFmtId="0" fontId="29" fillId="15" borderId="37" xfId="0" applyNumberFormat="1" applyFont="1" applyFill="1" applyBorder="1"/>
    <x:xf numFmtId="0" fontId="29" fillId="15" borderId="38" xfId="0" applyNumberFormat="1" applyFont="1" applyFill="1" applyBorder="1"/>
    <x:xf numFmtId="0" fontId="30" fillId="15" borderId="39" xfId="0" applyNumberFormat="1" applyFont="1" applyFill="1" applyBorder="1"/>
    <x:xf numFmtId="0" fontId="30" fillId="15" borderId="40" xfId="0" applyNumberFormat="1" applyFont="1" applyFill="1" applyBorder="1"/>
    <x:xf numFmtId="0" fontId="31" fillId="15" borderId="43" xfId="0" applyNumberFormat="1" applyFont="1" applyFill="1" applyBorder="1"/>
    <x:xf numFmtId="0" fontId="31" fillId="15" borderId="44" xfId="0" applyNumberFormat="1" applyFont="1" applyFill="1" applyBorder="1"/>
    <x:xf numFmtId="0" fontId="33" fillId="15" borderId="37" xfId="0" applyNumberFormat="1" applyFont="1" applyFill="1" applyBorder="1"/>
    <x:xf numFmtId="0" fontId="33" fillId="15" borderId="38" xfId="0" applyNumberFormat="1" applyFont="1" applyFill="1" applyBorder="1"/>
    <x:xf numFmtId="0" fontId="31" fillId="15" borderId="45" xfId="0" applyNumberFormat="1" applyFont="1" applyFill="1" applyBorder="1"/>
    <x:xf numFmtId="0" fontId="31" fillId="15" borderId="46" xfId="0" applyNumberFormat="1" applyFont="1" applyFill="1" applyBorder="1"/>
    <x:xf numFmtId="0" fontId="34" fillId="15" borderId="37" xfId="0" applyNumberFormat="1" applyFont="1" applyFill="1" applyBorder="1"/>
    <x:xf numFmtId="0" fontId="34" fillId="15" borderId="38" xfId="0" applyNumberFormat="1" applyFont="1" applyFill="1" applyBorder="1"/>
    <x:xf numFmtId="202" fontId="32" fillId="15" borderId="37" xfId="0" applyNumberFormat="1" applyFont="1" applyFill="1" applyBorder="1"/>
    <x:xf numFmtId="164" fontId="32" fillId="15" borderId="37" xfId="0" applyNumberFormat="1" applyFont="1" applyFill="1" applyBorder="1"/>
    <x:xf numFmtId="201" fontId="32" fillId="15" borderId="37" xfId="0" applyNumberFormat="1" applyFont="1" applyFill="1" applyBorder="1"/>
    <x:xf numFmtId="200" fontId="32" fillId="15" borderId="37" xfId="0" applyNumberFormat="1" applyFont="1" applyFill="1" applyBorder="1"/>
    <x:xf numFmtId="203" fontId="29" fillId="15" borderId="37" xfId="0" applyNumberFormat="1" applyFont="1" applyFill="1" applyBorder="1"/>
    <x:xf numFmtId="204" fontId="33" fillId="15" borderId="37" xfId="0" applyNumberFormat="1" applyFont="1" applyFill="1" applyBorder="1"/>
    <x:xf numFmtId="205" fontId="33" fillId="15" borderId="37" xfId="0" applyNumberFormat="1" applyFont="1" applyFill="1" applyBorder="1"/>
    <x:xf numFmtId="203" fontId="29" fillId="15" borderId="38" xfId="0" applyNumberFormat="1" applyFont="1" applyFill="1" applyBorder="1"/>
    <x:xf numFmtId="203" fontId="34" fillId="15" borderId="37" xfId="0" applyNumberFormat="1" applyFont="1" applyFill="1" applyBorder="1"/>
    <x:xf numFmtId="205" fontId="34" fillId="15" borderId="37" xfId="0" applyNumberFormat="1" applyFont="1" applyFill="1" applyBorder="1"/>
    <x:xf numFmtId="0" fontId="35" fillId="14" borderId="0" xfId="0" applyNumberFormat="1" applyFont="1" applyFill="1" applyBorder="1"/>
    <x:xf numFmtId="0" fontId="35" fillId="14" borderId="0" xfId="0" applyNumberFormat="1" applyFont="1" applyFill="1" applyBorder="1" applyAlignment="1">
      <x:alignment vertical="center"/>
    </x:xf>
    <x:xf numFmtId="0" fontId="36" fillId="10" borderId="0" xfId="0" applyNumberFormat="1" applyFont="1" applyFill="1" applyBorder="1"/>
    <x:xf numFmtId="0" fontId="36" fillId="10" borderId="0" xfId="0" applyNumberFormat="1" applyFont="1" applyFill="1" applyBorder="1" applyAlignment="1">
      <x:alignment vertical="center"/>
    </x:xf>
    <x:xf numFmtId="0" fontId="21" fillId="17" borderId="0" xfId="0" applyNumberFormat="1" applyFont="1" applyFill="1" applyBorder="1"/>
    <x:xf numFmtId="0" fontId="37" fillId="17" borderId="0" xfId="0" applyNumberFormat="1" applyFont="1" applyFill="1" applyBorder="1"/>
    <x:xf numFmtId="0" fontId="37" fillId="17" borderId="31" xfId="0" applyNumberFormat="1" applyFont="1" applyFill="1" applyBorder="1"/>
    <x:xf numFmtId="0" fontId="37" fillId="17" borderId="31" xfId="0" applyNumberFormat="1" applyFont="1" applyFill="1" applyBorder="1" applyAlignment="1">
      <x:alignment wrapText="1"/>
    </x:xf>
    <x:xf numFmtId="0" fontId="37" fillId="17" borderId="31" xfId="0" applyNumberFormat="1" applyFont="1" applyFill="1" applyBorder="1" applyAlignment="1">
      <x:alignment vertical="center" wrapText="1"/>
    </x:xf>
    <x:xf numFmtId="0" fontId="38" fillId="17" borderId="31" xfId="0" applyNumberFormat="1" applyFont="1" applyFill="1" applyBorder="1" applyAlignment="1">
      <x:alignment vertical="center" wrapText="1"/>
    </x:xf>
    <x:xf numFmtId="0" fontId="31" fillId="17" borderId="31" xfId="0" applyNumberFormat="1" applyFont="1" applyFill="1" applyBorder="1" applyAlignment="1">
      <x:alignment vertical="center" wrapText="1"/>
    </x:xf>
    <x:xf numFmtId="0" fontId="37" fillId="15" borderId="0" xfId="0" applyNumberFormat="1" applyFont="1" applyFill="1" applyBorder="1"/>
    <x:xf numFmtId="0" fontId="37" fillId="15" borderId="31" xfId="0" applyNumberFormat="1" applyFont="1" applyFill="1" applyBorder="1"/>
    <x:xf numFmtId="0" fontId="37" fillId="15" borderId="31" xfId="0" applyNumberFormat="1" applyFont="1" applyFill="1" applyBorder="1" applyAlignment="1">
      <x:alignment wrapText="1"/>
    </x:xf>
    <x:xf numFmtId="0" fontId="37" fillId="15" borderId="31" xfId="0" applyNumberFormat="1" applyFont="1" applyFill="1" applyBorder="1" applyAlignment="1">
      <x:alignment vertical="center" wrapText="1"/>
    </x:xf>
    <x:xf numFmtId="0" fontId="39" fillId="15" borderId="31" xfId="0" applyNumberFormat="1" applyFont="1" applyFill="1" applyBorder="1" applyAlignment="1">
      <x:alignment vertical="center" wrapText="1"/>
    </x:xf>
    <x:xf numFmtId="0" fontId="31" fillId="15" borderId="31" xfId="0" applyNumberFormat="1" applyFont="1" applyFill="1" applyBorder="1" applyAlignment="1">
      <x:alignment vertical="center" wrapText="1"/>
    </x:xf>
    <x:xf numFmtId="0" fontId="36" fillId="10" borderId="0" xfId="0" applyNumberFormat="1" applyFont="1" applyFill="1" applyBorder="1" applyAlignment="1">
      <x:alignment wrapText="1"/>
    </x:xf>
    <x:xf numFmtId="0" fontId="36" fillId="10" borderId="0" xfId="0" applyNumberFormat="1" applyFont="1" applyFill="1" applyBorder="1" applyAlignment="1">
      <x:alignment horizontal="center" wrapText="1"/>
    </x:xf>
    <x:xf numFmtId="0" fontId="36" fillId="10" borderId="0" xfId="0" applyNumberFormat="1" applyFont="1" applyFill="1" applyBorder="1" applyAlignment="1">
      <x:alignment horizontal="center" vertical="center" wrapText="1"/>
    </x:xf>
    <x:xf numFmtId="0" fontId="37" fillId="15" borderId="0" xfId="0" applyNumberFormat="1" applyFont="1" applyFill="1" applyBorder="1" applyAlignment="1">
      <x:alignment vertical="center"/>
    </x:xf>
    <x:xf numFmtId="0" fontId="37" fillId="15" borderId="31" xfId="0" applyNumberFormat="1" applyFont="1" applyFill="1" applyBorder="1" applyAlignment="1">
      <x:alignment vertical="center"/>
    </x:xf>
    <x:xf numFmtId="0" fontId="37" fillId="16" borderId="0" xfId="0" applyNumberFormat="1" applyFont="1" applyFill="1" applyBorder="1" applyAlignment="1">
      <x:alignment vertical="center"/>
    </x:xf>
    <x:xf numFmtId="0" fontId="40" fillId="16" borderId="0" xfId="0" applyNumberFormat="1" applyFont="1" applyFill="1" applyBorder="1" applyAlignment="1">
      <x:alignment vertical="center"/>
    </x:xf>
    <x:xf numFmtId="0" fontId="37" fillId="9" borderId="0" xfId="0" applyNumberFormat="1" applyFont="1" applyFill="1" applyBorder="1" applyAlignment="1">
      <x:alignment vertical="center"/>
    </x:xf>
    <x:xf numFmtId="0" fontId="40" fillId="9" borderId="0" xfId="0" applyNumberFormat="1" applyFont="1" applyFill="1" applyBorder="1" applyAlignment="1">
      <x:alignment vertical="center"/>
    </x:xf>
    <x:xf numFmtId="0" fontId="30" fillId="15" borderId="0" xfId="0" applyNumberFormat="1" applyFont="1" applyFill="1" applyBorder="1" applyAlignment="1">
      <x:alignment vertical="center"/>
    </x:xf>
    <x:xf numFmtId="0" fontId="30" fillId="15" borderId="31" xfId="0" applyNumberFormat="1" applyFont="1" applyFill="1" applyBorder="1" applyAlignment="1">
      <x:alignment vertical="center"/>
    </x:xf>
    <x:xf numFmtId="206" fontId="40" fillId="16" borderId="0" xfId="0" applyNumberFormat="1" applyFont="1" applyFill="1" applyBorder="1" applyAlignment="1">
      <x:alignment vertical="center"/>
    </x:xf>
    <x:xf numFmtId="206" fontId="40" fillId="9" borderId="0" xfId="0" applyNumberFormat="1" applyFont="1" applyFill="1" applyBorder="1" applyAlignment="1">
      <x:alignment vertical="center"/>
    </x:xf>
    <x:xf numFmtId="206" fontId="37" fillId="15" borderId="0" xfId="0" applyNumberFormat="1" applyFont="1" applyFill="1" applyBorder="1" applyAlignment="1">
      <x:alignment vertical="center"/>
    </x:xf>
    <x:xf numFmtId="206" fontId="37" fillId="15" borderId="31" xfId="0" applyNumberFormat="1" applyFont="1" applyFill="1" applyBorder="1" applyAlignment="1">
      <x:alignment vertical="center"/>
    </x:xf>
    <x:xf numFmtId="203" fontId="40" fillId="16" borderId="0" xfId="0" applyNumberFormat="1" applyFont="1" applyFill="1" applyBorder="1" applyAlignment="1">
      <x:alignment vertical="center"/>
    </x:xf>
    <x:xf numFmtId="203" fontId="40" fillId="9" borderId="0" xfId="0" applyNumberFormat="1" applyFont="1" applyFill="1" applyBorder="1" applyAlignment="1">
      <x:alignment vertical="center"/>
    </x:xf>
    <x:xf numFmtId="203" fontId="37" fillId="15" borderId="0" xfId="0" applyNumberFormat="1" applyFont="1" applyFill="1" applyBorder="1" applyAlignment="1">
      <x:alignment vertical="center"/>
    </x:xf>
    <x:xf numFmtId="203" fontId="37" fillId="15" borderId="31" xfId="0" applyNumberFormat="1" applyFont="1" applyFill="1" applyBorder="1" applyAlignment="1">
      <x:alignment vertical="center"/>
    </x:xf>
    <x:xf numFmtId="207" fontId="40" fillId="16" borderId="0" xfId="0" applyNumberFormat="1" applyFont="1" applyFill="1" applyBorder="1" applyAlignment="1">
      <x:alignment vertical="center"/>
    </x:xf>
    <x:xf numFmtId="207" fontId="40" fillId="9" borderId="0" xfId="0" applyNumberFormat="1" applyFont="1" applyFill="1" applyBorder="1" applyAlignment="1">
      <x:alignment vertical="center"/>
    </x:xf>
    <x:xf numFmtId="207" fontId="37" fillId="15" borderId="0" xfId="0" applyNumberFormat="1" applyFont="1" applyFill="1" applyBorder="1" applyAlignment="1">
      <x:alignment vertical="center"/>
    </x:xf>
    <x:xf numFmtId="207" fontId="37" fillId="15" borderId="31" xfId="0" applyNumberFormat="1" applyFont="1" applyFill="1" applyBorder="1" applyAlignment="1">
      <x:alignment vertical="center"/>
    </x:xf>
    <x:xf numFmtId="164" fontId="40" fillId="16" borderId="0" xfId="0" applyNumberFormat="1" applyFont="1" applyFill="1" applyBorder="1" applyAlignment="1">
      <x:alignment vertical="center"/>
    </x:xf>
    <x:xf numFmtId="164" fontId="40" fillId="9" borderId="0" xfId="0" applyNumberFormat="1" applyFont="1" applyFill="1" applyBorder="1" applyAlignment="1">
      <x:alignment vertical="center"/>
    </x:xf>
    <x:xf numFmtId="164" fontId="37" fillId="15" borderId="0" xfId="0" applyNumberFormat="1" applyFont="1" applyFill="1" applyBorder="1" applyAlignment="1">
      <x:alignment vertical="center"/>
    </x:xf>
    <x:xf numFmtId="164" fontId="37" fillId="15" borderId="31" xfId="0" applyNumberFormat="1" applyFont="1" applyFill="1" applyBorder="1" applyAlignment="1">
      <x:alignment vertical="center"/>
    </x:xf>
    <x:xf numFmtId="205" fontId="40" fillId="16" borderId="0" xfId="0" applyNumberFormat="1" applyFont="1" applyFill="1" applyBorder="1" applyAlignment="1">
      <x:alignment vertical="center"/>
    </x:xf>
    <x:xf numFmtId="205" fontId="40" fillId="9" borderId="0" xfId="0" applyNumberFormat="1" applyFont="1" applyFill="1" applyBorder="1" applyAlignment="1">
      <x:alignment vertical="center"/>
    </x:xf>
    <x:xf numFmtId="205" fontId="37" fillId="15" borderId="0" xfId="0" applyNumberFormat="1" applyFont="1" applyFill="1" applyBorder="1" applyAlignment="1">
      <x:alignment vertical="center"/>
    </x:xf>
    <x:xf numFmtId="205" fontId="37" fillId="15" borderId="31" xfId="0" applyNumberFormat="1" applyFont="1" applyFill="1" applyBorder="1" applyAlignment="1">
      <x:alignment vertical="center"/>
    </x:xf>
    <x:xf numFmtId="201" fontId="40" fillId="16" borderId="0" xfId="0" applyNumberFormat="1" applyFont="1" applyFill="1" applyBorder="1" applyAlignment="1">
      <x:alignment vertical="center"/>
    </x:xf>
    <x:xf numFmtId="201" fontId="40" fillId="9" borderId="0" xfId="0" applyNumberFormat="1" applyFont="1" applyFill="1" applyBorder="1" applyAlignment="1">
      <x:alignment vertical="center"/>
    </x:xf>
    <x:xf numFmtId="201" fontId="37" fillId="15" borderId="0" xfId="0" applyNumberFormat="1" applyFont="1" applyFill="1" applyBorder="1" applyAlignment="1">
      <x:alignment vertical="center"/>
    </x:xf>
    <x:xf numFmtId="201" fontId="37" fillId="15" borderId="31" xfId="0" applyNumberFormat="1" applyFont="1" applyFill="1" applyBorder="1" applyAlignment="1">
      <x:alignment vertical="center"/>
    </x:xf>
    <x:xf numFmtId="206" fontId="40" fillId="16" borderId="0" xfId="0" applyNumberFormat="1" applyFont="1" applyFill="1" applyBorder="1" applyAlignment="1">
      <x:alignment horizontal="right" vertical="center"/>
    </x:xf>
    <x:xf numFmtId="203" fontId="40" fillId="16" borderId="0" xfId="0" applyNumberFormat="1" applyFont="1" applyFill="1" applyBorder="1" applyAlignment="1">
      <x:alignment horizontal="right" vertical="center"/>
    </x:xf>
    <x:xf numFmtId="207" fontId="40" fillId="16" borderId="0" xfId="0" applyNumberFormat="1" applyFont="1" applyFill="1" applyBorder="1" applyAlignment="1">
      <x:alignment horizontal="right" vertical="center"/>
    </x:xf>
    <x:xf numFmtId="164" fontId="40" fillId="16" borderId="0" xfId="0" applyNumberFormat="1" applyFont="1" applyFill="1" applyBorder="1" applyAlignment="1">
      <x:alignment horizontal="right" vertical="center"/>
    </x:xf>
    <x:xf numFmtId="205" fontId="40" fillId="16" borderId="0" xfId="0" applyNumberFormat="1" applyFont="1" applyFill="1" applyBorder="1" applyAlignment="1">
      <x:alignment horizontal="right" vertical="center"/>
    </x:xf>
    <x:xf numFmtId="201" fontId="40" fillId="16" borderId="0" xfId="0" applyNumberFormat="1" applyFont="1" applyFill="1" applyBorder="1" applyAlignment="1">
      <x:alignment horizontal="right" vertical="center"/>
    </x:xf>
    <x:xf numFmtId="206" fontId="40" fillId="9" borderId="0" xfId="0" applyNumberFormat="1" applyFont="1" applyFill="1" applyBorder="1" applyAlignment="1">
      <x:alignment horizontal="right" vertical="center"/>
    </x:xf>
    <x:xf numFmtId="203" fontId="40" fillId="9" borderId="0" xfId="0" applyNumberFormat="1" applyFont="1" applyFill="1" applyBorder="1" applyAlignment="1">
      <x:alignment horizontal="right" vertical="center"/>
    </x:xf>
    <x:xf numFmtId="207" fontId="40" fillId="9" borderId="0" xfId="0" applyNumberFormat="1" applyFont="1" applyFill="1" applyBorder="1" applyAlignment="1">
      <x:alignment horizontal="right" vertical="center"/>
    </x:xf>
    <x:xf numFmtId="164" fontId="40" fillId="9" borderId="0" xfId="0" applyNumberFormat="1" applyFont="1" applyFill="1" applyBorder="1" applyAlignment="1">
      <x:alignment horizontal="right" vertical="center"/>
    </x:xf>
    <x:xf numFmtId="205" fontId="40" fillId="9" borderId="0" xfId="0" applyNumberFormat="1" applyFont="1" applyFill="1" applyBorder="1" applyAlignment="1">
      <x:alignment horizontal="right" vertical="center"/>
    </x:xf>
    <x:xf numFmtId="201" fontId="40" fillId="9" borderId="0" xfId="0" applyNumberFormat="1" applyFont="1" applyFill="1" applyBorder="1" applyAlignment="1">
      <x:alignment horizontal="right" vertical="center"/>
    </x:xf>
    <x:xf numFmtId="206" fontId="37" fillId="15" borderId="0" xfId="0" applyNumberFormat="1" applyFont="1" applyFill="1" applyBorder="1" applyAlignment="1">
      <x:alignment horizontal="right" vertical="center"/>
    </x:xf>
    <x:xf numFmtId="203" fontId="37" fillId="15" borderId="0" xfId="0" applyNumberFormat="1" applyFont="1" applyFill="1" applyBorder="1" applyAlignment="1">
      <x:alignment horizontal="right" vertical="center"/>
    </x:xf>
    <x:xf numFmtId="207" fontId="37" fillId="15" borderId="0" xfId="0" applyNumberFormat="1" applyFont="1" applyFill="1" applyBorder="1" applyAlignment="1">
      <x:alignment horizontal="right" vertical="center"/>
    </x:xf>
    <x:xf numFmtId="164" fontId="37" fillId="15" borderId="0" xfId="0" applyNumberFormat="1" applyFont="1" applyFill="1" applyBorder="1" applyAlignment="1">
      <x:alignment horizontal="right" vertical="center"/>
    </x:xf>
    <x:xf numFmtId="205" fontId="37" fillId="15" borderId="0" xfId="0" applyNumberFormat="1" applyFont="1" applyFill="1" applyBorder="1" applyAlignment="1">
      <x:alignment horizontal="right" vertical="center"/>
    </x:xf>
    <x:xf numFmtId="201" fontId="37" fillId="15" borderId="0" xfId="0" applyNumberFormat="1" applyFont="1" applyFill="1" applyBorder="1" applyAlignment="1">
      <x:alignment horizontal="right" vertical="center"/>
    </x:xf>
    <x:xf numFmtId="206" fontId="37" fillId="15" borderId="31" xfId="0" applyNumberFormat="1" applyFont="1" applyFill="1" applyBorder="1" applyAlignment="1">
      <x:alignment horizontal="right" vertical="center"/>
    </x:xf>
    <x:xf numFmtId="203" fontId="37" fillId="15" borderId="31" xfId="0" applyNumberFormat="1" applyFont="1" applyFill="1" applyBorder="1" applyAlignment="1">
      <x:alignment horizontal="right" vertical="center"/>
    </x:xf>
    <x:xf numFmtId="207" fontId="37" fillId="15" borderId="31" xfId="0" applyNumberFormat="1" applyFont="1" applyFill="1" applyBorder="1" applyAlignment="1">
      <x:alignment horizontal="right" vertical="center"/>
    </x:xf>
    <x:xf numFmtId="164" fontId="37" fillId="15" borderId="31" xfId="0" applyNumberFormat="1" applyFont="1" applyFill="1" applyBorder="1" applyAlignment="1">
      <x:alignment horizontal="right" vertical="center"/>
    </x:xf>
    <x:xf numFmtId="205" fontId="37" fillId="15" borderId="31" xfId="0" applyNumberFormat="1" applyFont="1" applyFill="1" applyBorder="1" applyAlignment="1">
      <x:alignment horizontal="right" vertical="center"/>
    </x:xf>
    <x:xf numFmtId="201" fontId="37" fillId="15" borderId="31" xfId="0" applyNumberFormat="1" applyFont="1" applyFill="1" applyBorder="1" applyAlignment="1">
      <x:alignment horizontal="right" vertical="center"/>
    </x:xf>
    <x:xf numFmtId="0" fontId="40" fillId="16" borderId="0" xfId="0" applyNumberFormat="1" applyFont="1" applyFill="1" applyBorder="1" applyAlignment="1">
      <x:alignment horizontal="center" vertical="center"/>
    </x:xf>
    <x:xf numFmtId="0" fontId="40" fillId="9" borderId="0" xfId="0" applyNumberFormat="1" applyFont="1" applyFill="1" applyBorder="1" applyAlignment="1">
      <x:alignment horizontal="center" vertical="center"/>
    </x:xf>
    <x:xf numFmtId="0" fontId="37" fillId="15" borderId="0" xfId="0" applyNumberFormat="1" applyFont="1" applyFill="1" applyBorder="1" applyAlignment="1">
      <x:alignment horizontal="center" vertical="center"/>
    </x:xf>
    <x:xf numFmtId="0" fontId="37" fillId="15" borderId="31" xfId="0" applyNumberFormat="1" applyFont="1" applyFill="1" applyBorder="1" applyAlignment="1">
      <x:alignment horizontal="center" vertical="center"/>
    </x:xf>
    <x:xf numFmtId="0" fontId="41" fillId="13" borderId="0" xfId="0" applyNumberFormat="1" applyFont="1" applyFill="1" applyBorder="1"/>
    <x:xf numFmtId="0" fontId="41" fillId="13" borderId="0" xfId="0" applyNumberFormat="1" applyFont="1" applyFill="1" applyBorder="1" applyAlignment="1">
      <x:alignment wrapText="1"/>
    </x:xf>
    <x:xf numFmtId="0" fontId="36" fillId="10" borderId="0" xfId="0" applyNumberFormat="1" applyFont="1" applyFill="1" applyBorder="1" applyAlignment="1">
      <x:alignment horizontal="left" vertical="center" wrapText="1"/>
    </x:xf>
    <x:xf numFmtId="0" fontId="40" fillId="16" borderId="0" xfId="0" applyNumberFormat="1" applyFont="1" applyFill="1" applyBorder="1" applyAlignment="1">
      <x:alignment horizontal="left" vertical="center"/>
    </x:xf>
    <x:xf numFmtId="0" fontId="40" fillId="9" borderId="0" xfId="0" applyNumberFormat="1" applyFont="1" applyFill="1" applyBorder="1" applyAlignment="1">
      <x:alignment horizontal="left" vertical="center"/>
    </x:xf>
    <x:xf numFmtId="0" fontId="30" fillId="15" borderId="0" xfId="0" applyNumberFormat="1" applyFont="1" applyFill="1" applyBorder="1" applyAlignment="1">
      <x:alignment horizontal="left" vertical="center"/>
    </x:xf>
    <x:xf numFmtId="0" fontId="30" fillId="15" borderId="31" xfId="0" applyNumberFormat="1" applyFont="1" applyFill="1" applyBorder="1" applyAlignment="1">
      <x:alignment horizontal="left" vertical="center"/>
    </x:xf>
    <x:xf numFmtId="0" fontId="0" fillId="15" borderId="0" xfId="0" applyNumberFormat="1" applyFont="1" applyFill="1" applyBorder="1"/>
    <x:xf numFmtId="0" fontId="42" fillId="14" borderId="0" xfId="0" applyNumberFormat="1" applyFont="1" applyFill="1" applyBorder="1"/>
    <x:xf numFmtId="0" fontId="43" fillId="9" borderId="0" xfId="0" applyNumberFormat="1" applyFont="1" applyFill="1" applyBorder="1"/>
    <x:xf numFmtId="0" fontId="21" fillId="15" borderId="31" xfId="0" applyNumberFormat="1" applyFont="1" applyFill="1" applyBorder="1"/>
    <x:xf numFmtId="201" fontId="21" fillId="15" borderId="0" xfId="0" applyNumberFormat="1" applyFont="1" applyFill="1" applyBorder="1"/>
    <x:xf numFmtId="164" fontId="21" fillId="15" borderId="31" xfId="0" applyNumberFormat="1" applyFont="1" applyFill="1" applyBorder="1"/>
    <x:xf numFmtId="0" fontId="21" fillId="15" borderId="0" xfId="0" applyNumberFormat="1" applyFont="1" applyFill="1" applyBorder="1" applyAlignment="1">
      <x:alignment horizontal="center"/>
    </x:xf>
    <x:xf numFmtId="0" fontId="21" fillId="15" borderId="31" xfId="0" applyNumberFormat="1" applyFont="1" applyFill="1" applyBorder="1" applyAlignment="1">
      <x:alignment horizontal="center"/>
    </x:xf>
    <x:xf numFmtId="0" fontId="44" fillId="12" borderId="0" xfId="0" applyNumberFormat="1" applyFont="1" applyFill="1" applyBorder="1"/>
    <x:xf numFmtId="0" fontId="44" fillId="12" borderId="0" xfId="0" applyNumberFormat="1" applyFont="1" applyFill="1" applyBorder="1" applyAlignment="1">
      <x:alignment wrapText="1"/>
    </x:xf>
    <x:xf numFmtId="0" fontId="44" fillId="12" borderId="0" xfId="0" applyNumberFormat="1" applyFont="1" applyFill="1" applyBorder="1" applyAlignment="1">
      <x:alignment vertical="center" wrapText="1"/>
    </x:xf>
    <x:xf numFmtId="0" fontId="21" fillId="18" borderId="0" xfId="0" applyNumberFormat="1" applyFont="1" applyFill="1" applyBorder="1"/>
    <x:xf numFmtId="0" fontId="45" fillId="18" borderId="0" xfId="0" applyNumberFormat="1" applyFont="1" applyFill="1" applyBorder="1"/>
    <x:xf numFmtId="0" fontId="45" fillId="18" borderId="0" xfId="0" applyNumberFormat="1" applyFont="1" applyFill="1" applyBorder="1" applyAlignment="1">
      <x:alignment horizontal="center"/>
    </x:xf>
    <x:xf numFmtId="0" fontId="45" fillId="18" borderId="0" xfId="0" applyNumberFormat="1" applyFont="1" applyFill="1" applyBorder="1" applyAlignment="1">
      <x:alignment horizontal="center" vertical="center"/>
    </x:xf>
    <x:xf numFmtId="0" fontId="45" fillId="19" borderId="0" xfId="0" applyNumberFormat="1" applyFont="1" applyFill="1" applyBorder="1" applyAlignment="1">
      <x:alignment horizontal="center" vertical="center"/>
    </x:xf>
    <x:xf numFmtId="0" fontId="36" fillId="19" borderId="0" xfId="0" applyNumberFormat="1" applyFont="1" applyFill="1" applyBorder="1" applyAlignment="1">
      <x:alignment horizontal="center" vertical="center"/>
    </x:xf>
    <x:xf numFmtId="0" fontId="46" fillId="13" borderId="0" xfId="0" applyNumberFormat="1" applyFont="1" applyFill="1" applyBorder="1"/>
    <x:xf numFmtId="0" fontId="46" fillId="13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21" fillId="20" borderId="0" xfId="0" applyNumberFormat="1" applyFont="1" applyFill="1" applyBorder="1"/>
    <x:xf numFmtId="0" fontId="21" fillId="21" borderId="0" xfId="0" applyNumberFormat="1" applyFont="1" applyFill="1" applyBorder="1"/>
    <x:xf numFmtId="0" fontId="27" fillId="21" borderId="0" xfId="0" applyNumberFormat="1" applyFont="1" applyFill="1" applyBorder="1"/>
    <x:xf numFmtId="0" fontId="27" fillId="21" borderId="0" xfId="0" applyNumberFormat="1" applyFont="1" applyFill="1" applyBorder="1" applyAlignment="1">
      <x:alignment vertical="center"/>
    </x:xf>
    <x:xf numFmtId="0" fontId="21" fillId="22" borderId="0" xfId="0" applyNumberFormat="1" applyFont="1" applyFill="1" applyBorder="1"/>
    <x:xf numFmtId="0" fontId="47" fillId="22" borderId="0" xfId="0" applyNumberFormat="1" applyFont="1" applyFill="1" applyBorder="1"/>
    <x:xf numFmtId="0" fontId="47" fillId="22" borderId="47" xfId="0" applyNumberFormat="1" applyFont="1" applyFill="1" applyBorder="1"/>
    <x:xf numFmtId="0" fontId="39" fillId="22" borderId="47" xfId="0" applyNumberFormat="1" applyFont="1" applyFill="1" applyBorder="1"/>
    <x:xf numFmtId="0" fontId="39" fillId="22" borderId="47" xfId="0" applyNumberFormat="1" applyFont="1" applyFill="1" applyBorder="1" applyAlignment="1">
      <x:alignment horizontal="right"/>
    </x:xf>
    <x:xf numFmtId="0" fontId="48" fillId="22" borderId="0" xfId="0" applyNumberFormat="1" applyFont="1" applyFill="1" applyBorder="1"/>
    <x:xf numFmtId="0" fontId="48" fillId="22" borderId="48" xfId="0" applyNumberFormat="1" applyFont="1" applyFill="1" applyBorder="1"/>
    <x:xf numFmtId="0" fontId="48" fillId="22" borderId="49" xfId="0" applyNumberFormat="1" applyFont="1" applyFill="1" applyBorder="1"/>
    <x:xf numFmtId="0" fontId="48" fillId="22" borderId="50" xfId="0" applyNumberFormat="1" applyFont="1" applyFill="1" applyBorder="1"/>
    <x:xf numFmtId="0" fontId="48" fillId="22" borderId="48" xfId="0" applyNumberFormat="1" applyFont="1" applyFill="1" applyBorder="1" applyAlignment="1">
      <x:alignment vertical="center"/>
    </x:xf>
    <x:xf numFmtId="0" fontId="48" fillId="22" borderId="49" xfId="0" applyNumberFormat="1" applyFont="1" applyFill="1" applyBorder="1" applyAlignment="1">
      <x:alignment vertical="center"/>
    </x:xf>
    <x:xf numFmtId="0" fontId="48" fillId="22" borderId="50" xfId="0" applyNumberFormat="1" applyFont="1" applyFill="1" applyBorder="1" applyAlignment="1">
      <x:alignment vertical="center"/>
    </x:xf>
    <x:xf numFmtId="0" fontId="49" fillId="22" borderId="48" xfId="0" applyNumberFormat="1" applyFont="1" applyFill="1" applyBorder="1" applyAlignment="1">
      <x:alignment vertical="center"/>
    </x:xf>
    <x:xf numFmtId="0" fontId="49" fillId="22" borderId="49" xfId="0" applyNumberFormat="1" applyFont="1" applyFill="1" applyBorder="1" applyAlignment="1">
      <x:alignment vertical="center"/>
    </x:xf>
    <x:xf numFmtId="0" fontId="48" fillId="23" borderId="49" xfId="0" applyNumberFormat="1" applyFont="1" applyFill="1" applyBorder="1" applyAlignment="1">
      <x:alignment vertical="center"/>
    </x:xf>
    <x:xf numFmtId="0" fontId="39" fillId="23" borderId="49" xfId="0" applyNumberFormat="1" applyFont="1" applyFill="1" applyBorder="1" applyAlignment="1">
      <x:alignment vertical="center"/>
    </x:xf>
    <x:xf numFmtId="0" fontId="39" fillId="23" borderId="49" xfId="0" applyNumberFormat="1" applyFont="1" applyFill="1" applyBorder="1" applyAlignment="1">
      <x:alignment horizontal="center" vertical="center"/>
    </x:xf>
    <x:xf numFmtId="0" fontId="50" fillId="22" borderId="49" xfId="0" applyNumberFormat="1" applyFont="1" applyFill="1" applyBorder="1" applyAlignment="1">
      <x:alignment vertical="center"/>
    </x:xf>
    <x:xf numFmtId="164" fontId="50" fillId="22" borderId="49" xfId="0" applyNumberFormat="1" applyFont="1" applyFill="1" applyBorder="1" applyAlignment="1">
      <x:alignment vertical="center"/>
    </x:xf>
    <x:xf numFmtId="0" fontId="21" fillId="22" borderId="51" xfId="0" applyNumberFormat="1" applyFont="1" applyFill="1" applyBorder="1"/>
    <x:xf numFmtId="0" fontId="21" fillId="22" borderId="52" xfId="0" applyNumberFormat="1" applyFont="1" applyFill="1" applyBorder="1"/>
    <x:xf numFmtId="0" fontId="21" fillId="22" borderId="53" xfId="0" applyNumberFormat="1" applyFont="1" applyFill="1" applyBorder="1"/>
    <x:xf numFmtId="0" fontId="21" fillId="22" borderId="54" xfId="0" applyNumberFormat="1" applyFont="1" applyFill="1" applyBorder="1"/>
    <x:xf numFmtId="0" fontId="21" fillId="22" xfId="0" applyNumberFormat="1" applyFont="1" applyFill="1" applyBorder="0"/>
    <x:xf numFmtId="0" fontId="21" fillId="22" borderId="55" xfId="0" applyNumberFormat="1" applyFont="1" applyFill="1" applyBorder="1"/>
    <x:xf numFmtId="0" fontId="21" fillId="22" borderId="56" xfId="0" applyNumberFormat="1" applyFont="1" applyFill="1" applyBorder="1"/>
    <x:xf numFmtId="0" fontId="21" fillId="22" borderId="47" xfId="0" applyNumberFormat="1" applyFont="1" applyFill="1" applyBorder="1"/>
    <x:xf numFmtId="0" fontId="21" fillId="22" borderId="57" xfId="0" applyNumberFormat="1" applyFont="1" applyFill="1" applyBorder="1"/>
    <x:xf numFmtId="0" fontId="21" fillId="24" borderId="51" xfId="0" applyNumberFormat="1" applyFont="1" applyFill="1" applyBorder="1"/>
    <x:xf numFmtId="0" fontId="21" fillId="24" borderId="52" xfId="0" applyNumberFormat="1" applyFont="1" applyFill="1" applyBorder="1"/>
    <x:xf numFmtId="0" fontId="21" fillId="24" borderId="53" xfId="0" applyNumberFormat="1" applyFont="1" applyFill="1" applyBorder="1"/>
    <x:xf numFmtId="0" fontId="51" fillId="24" borderId="51" xfId="0" applyNumberFormat="1" applyFont="1" applyFill="1" applyBorder="1"/>
    <x:xf numFmtId="0" fontId="51" fillId="24" borderId="52" xfId="0" applyNumberFormat="1" applyFont="1" applyFill="1" applyBorder="1"/>
    <x:xf numFmtId="0" fontId="51" fillId="24" borderId="53" xfId="0" applyNumberFormat="1" applyFont="1" applyFill="1" applyBorder="1"/>
    <x:xf numFmtId="0" fontId="51" fillId="24" borderId="51" xfId="0" applyNumberFormat="1" applyFont="1" applyFill="1" applyBorder="1" applyAlignment="1">
      <x:alignment vertical="center"/>
    </x:xf>
    <x:xf numFmtId="0" fontId="51" fillId="24" borderId="52" xfId="0" applyNumberFormat="1" applyFont="1" applyFill="1" applyBorder="1" applyAlignment="1">
      <x:alignment vertical="center"/>
    </x:xf>
    <x:xf numFmtId="0" fontId="51" fillId="24" borderId="53" xfId="0" applyNumberFormat="1" applyFont="1" applyFill="1" applyBorder="1" applyAlignment="1">
      <x:alignment vertical="center"/>
    </x:xf>
    <x:xf numFmtId="0" fontId="52" fillId="22" borderId="54" xfId="0" applyNumberFormat="1" applyFont="1" applyFill="1" applyBorder="1"/>
    <x:xf numFmtId="0" fontId="52" fillId="22" xfId="0" applyNumberFormat="1" applyFont="1" applyFill="1" applyBorder="0"/>
    <x:xf numFmtId="0" fontId="52" fillId="22" borderId="55" xfId="0" applyNumberFormat="1" applyFont="1" applyFill="1" applyBorder="1"/>
    <x:xf numFmtId="0" fontId="52" fillId="22" borderId="54" xfId="0" applyNumberFormat="1" applyFont="1" applyFill="1" applyBorder="1" applyAlignment="1">
      <x:alignment horizontal="right"/>
    </x:xf>
    <x:xf numFmtId="0" fontId="52" fillId="22" xfId="0" applyNumberFormat="1" applyFont="1" applyFill="1" applyBorder="0" applyAlignment="1">
      <x:alignment horizontal="right"/>
    </x:xf>
    <x:xf numFmtId="0" fontId="52" fillId="22" borderId="55" xfId="0" applyNumberFormat="1" applyFont="1" applyFill="1" applyBorder="1" applyAlignment="1">
      <x:alignment horizontal="right"/>
    </x:xf>
    <x:xf numFmtId="0" fontId="48" fillId="22" borderId="54" xfId="0" applyNumberFormat="1" applyFont="1" applyFill="1" applyBorder="1"/>
    <x:xf numFmtId="0" fontId="48" fillId="22" xfId="0" applyNumberFormat="1" applyFont="1" applyFill="1" applyBorder="0"/>
    <x:xf numFmtId="0" fontId="48" fillId="22" borderId="55" xfId="0" applyNumberFormat="1" applyFont="1" applyFill="1" applyBorder="1"/>
    <x:xf numFmtId="0" fontId="48" fillId="22" borderId="54" xfId="0" applyNumberFormat="1" applyFont="1" applyFill="1" applyBorder="1" applyAlignment="1">
      <x:alignment horizontal="right"/>
    </x:xf>
    <x:xf numFmtId="0" fontId="48" fillId="22" xfId="0" applyNumberFormat="1" applyFont="1" applyFill="1" applyBorder="0" applyAlignment="1">
      <x:alignment horizontal="right"/>
    </x:xf>
    <x:xf numFmtId="0" fontId="48" fillId="22" borderId="55" xfId="0" applyNumberFormat="1" applyFont="1" applyFill="1" applyBorder="1" applyAlignment="1">
      <x:alignment horizontal="right"/>
    </x:xf>
    <x:xf numFmtId="0" fontId="51" fillId="24" borderId="58" xfId="0" applyNumberFormat="1" applyFont="1" applyFill="1" applyBorder="1" applyAlignment="1">
      <x:alignment vertical="center"/>
    </x:xf>
    <x:xf numFmtId="0" fontId="51" fillId="24" borderId="59" xfId="0" applyNumberFormat="1" applyFont="1" applyFill="1" applyBorder="1" applyAlignment="1">
      <x:alignment vertical="center"/>
    </x:xf>
    <x:xf numFmtId="0" fontId="51" fillId="24" borderId="60" xfId="0" applyNumberFormat="1" applyFont="1" applyFill="1" applyBorder="1" applyAlignment="1">
      <x:alignment vertical="center"/>
    </x:xf>
    <x:xf numFmtId="0" fontId="21" fillId="23" borderId="51" xfId="0" applyNumberFormat="1" applyFont="1" applyFill="1" applyBorder="1"/>
    <x:xf numFmtId="0" fontId="21" fillId="23" borderId="52" xfId="0" applyNumberFormat="1" applyFont="1" applyFill="1" applyBorder="1"/>
    <x:xf numFmtId="0" fontId="21" fillId="23" borderId="53" xfId="0" applyNumberFormat="1" applyFont="1" applyFill="1" applyBorder="1"/>
    <x:xf numFmtId="0" fontId="39" fillId="23" borderId="51" xfId="0" applyNumberFormat="1" applyFont="1" applyFill="1" applyBorder="1"/>
    <x:xf numFmtId="0" fontId="39" fillId="23" borderId="52" xfId="0" applyNumberFormat="1" applyFont="1" applyFill="1" applyBorder="1"/>
    <x:xf numFmtId="0" fontId="39" fillId="23" borderId="53" xfId="0" applyNumberFormat="1" applyFont="1" applyFill="1" applyBorder="1"/>
    <x:xf numFmtId="0" fontId="39" fillId="23" borderId="51" xfId="0" applyNumberFormat="1" applyFont="1" applyFill="1" applyBorder="1" applyAlignment="1">
      <x:alignment vertical="center"/>
    </x:xf>
    <x:xf numFmtId="0" fontId="39" fillId="23" borderId="52" xfId="0" applyNumberFormat="1" applyFont="1" applyFill="1" applyBorder="1" applyAlignment="1">
      <x:alignment vertical="center"/>
    </x:xf>
    <x:xf numFmtId="0" fontId="39" fillId="23" borderId="53" xfId="0" applyNumberFormat="1" applyFont="1" applyFill="1" applyBorder="1" applyAlignment="1">
      <x:alignment vertical="center"/>
    </x:xf>
    <x:xf numFmtId="0" fontId="39" fillId="23" borderId="61" xfId="0" applyNumberFormat="1" applyFont="1" applyFill="1" applyBorder="1" applyAlignment="1">
      <x:alignment vertical="center"/>
    </x:xf>
    <x:xf numFmtId="0" fontId="39" fillId="23" borderId="42" xfId="0" applyNumberFormat="1" applyFont="1" applyFill="1" applyBorder="1" applyAlignment="1">
      <x:alignment vertical="center"/>
    </x:xf>
    <x:xf numFmtId="0" fontId="39" fillId="23" borderId="62" xfId="0" applyNumberFormat="1" applyFont="1" applyFill="1" applyBorder="1" applyAlignment="1">
      <x:alignment vertical="center"/>
    </x:xf>
    <x:xf numFmtId="0" fontId="21" fillId="25" borderId="51" xfId="0" applyNumberFormat="1" applyFont="1" applyFill="1" applyBorder="1"/>
    <x:xf numFmtId="0" fontId="21" fillId="25" borderId="52" xfId="0" applyNumberFormat="1" applyFont="1" applyFill="1" applyBorder="1"/>
    <x:xf numFmtId="0" fontId="21" fillId="25" borderId="53" xfId="0" applyNumberFormat="1" applyFont="1" applyFill="1" applyBorder="1"/>
    <x:xf numFmtId="0" fontId="53" fillId="25" borderId="51" xfId="0" applyNumberFormat="1" applyFont="1" applyFill="1" applyBorder="1"/>
    <x:xf numFmtId="0" fontId="53" fillId="25" borderId="52" xfId="0" applyNumberFormat="1" applyFont="1" applyFill="1" applyBorder="1"/>
    <x:xf numFmtId="0" fontId="53" fillId="25" borderId="53" xfId="0" applyNumberFormat="1" applyFont="1" applyFill="1" applyBorder="1"/>
    <x:xf numFmtId="0" fontId="53" fillId="25" borderId="51" xfId="0" applyNumberFormat="1" applyFont="1" applyFill="1" applyBorder="1" applyAlignment="1">
      <x:alignment vertical="center"/>
    </x:xf>
    <x:xf numFmtId="0" fontId="53" fillId="25" borderId="52" xfId="0" applyNumberFormat="1" applyFont="1" applyFill="1" applyBorder="1" applyAlignment="1">
      <x:alignment vertical="center"/>
    </x:xf>
    <x:xf numFmtId="0" fontId="53" fillId="25" borderId="53" xfId="0" applyNumberFormat="1" applyFont="1" applyFill="1" applyBorder="1" applyAlignment="1">
      <x:alignment vertical="center"/>
    </x:xf>
    <x:xf numFmtId="0" fontId="53" fillId="25" borderId="63" xfId="0" applyNumberFormat="1" applyFont="1" applyFill="1" applyBorder="1" applyAlignment="1">
      <x:alignment vertical="center"/>
    </x:xf>
    <x:xf numFmtId="0" fontId="53" fillId="25" borderId="64" xfId="0" applyNumberFormat="1" applyFont="1" applyFill="1" applyBorder="1" applyAlignment="1">
      <x:alignment vertical="center"/>
    </x:xf>
    <x:xf numFmtId="0" fontId="53" fillId="25" borderId="65" xfId="0" applyNumberFormat="1" applyFont="1" applyFill="1" applyBorder="1" applyAlignment="1">
      <x:alignment vertical="center"/>
    </x:xf>
    <x:xf numFmtId="0" fontId="21" fillId="26" borderId="51" xfId="0" applyNumberFormat="1" applyFont="1" applyFill="1" applyBorder="1"/>
    <x:xf numFmtId="0" fontId="21" fillId="26" borderId="52" xfId="0" applyNumberFormat="1" applyFont="1" applyFill="1" applyBorder="1"/>
    <x:xf numFmtId="0" fontId="21" fillId="26" borderId="53" xfId="0" applyNumberFormat="1" applyFont="1" applyFill="1" applyBorder="1"/>
    <x:xf numFmtId="0" fontId="54" fillId="26" borderId="51" xfId="0" applyNumberFormat="1" applyFont="1" applyFill="1" applyBorder="1"/>
    <x:xf numFmtId="0" fontId="54" fillId="26" borderId="52" xfId="0" applyNumberFormat="1" applyFont="1" applyFill="1" applyBorder="1"/>
    <x:xf numFmtId="0" fontId="54" fillId="26" borderId="53" xfId="0" applyNumberFormat="1" applyFont="1" applyFill="1" applyBorder="1"/>
    <x:xf numFmtId="0" fontId="54" fillId="26" borderId="51" xfId="0" applyNumberFormat="1" applyFont="1" applyFill="1" applyBorder="1" applyAlignment="1">
      <x:alignment vertical="center"/>
    </x:xf>
    <x:xf numFmtId="0" fontId="54" fillId="26" borderId="52" xfId="0" applyNumberFormat="1" applyFont="1" applyFill="1" applyBorder="1" applyAlignment="1">
      <x:alignment vertical="center"/>
    </x:xf>
    <x:xf numFmtId="0" fontId="54" fillId="26" borderId="53" xfId="0" applyNumberFormat="1" applyFont="1" applyFill="1" applyBorder="1" applyAlignment="1">
      <x:alignment vertical="center"/>
    </x:xf>
    <x:xf numFmtId="0" fontId="54" fillId="26" borderId="66" xfId="0" applyNumberFormat="1" applyFont="1" applyFill="1" applyBorder="1" applyAlignment="1">
      <x:alignment vertical="center"/>
    </x:xf>
    <x:xf numFmtId="0" fontId="54" fillId="26" borderId="67" xfId="0" applyNumberFormat="1" applyFont="1" applyFill="1" applyBorder="1" applyAlignment="1">
      <x:alignment vertical="center"/>
    </x:xf>
    <x:xf numFmtId="0" fontId="54" fillId="26" borderId="68" xfId="0" applyNumberFormat="1" applyFont="1" applyFill="1" applyBorder="1" applyAlignment="1">
      <x:alignment vertical="center"/>
    </x:xf>
    <x:xf numFmtId="0" fontId="21" fillId="27" borderId="51" xfId="0" applyNumberFormat="1" applyFont="1" applyFill="1" applyBorder="1"/>
    <x:xf numFmtId="0" fontId="21" fillId="27" borderId="52" xfId="0" applyNumberFormat="1" applyFont="1" applyFill="1" applyBorder="1"/>
    <x:xf numFmtId="0" fontId="21" fillId="27" borderId="53" xfId="0" applyNumberFormat="1" applyFont="1" applyFill="1" applyBorder="1"/>
    <x:xf numFmtId="0" fontId="55" fillId="27" borderId="51" xfId="0" applyNumberFormat="1" applyFont="1" applyFill="1" applyBorder="1"/>
    <x:xf numFmtId="0" fontId="55" fillId="27" borderId="52" xfId="0" applyNumberFormat="1" applyFont="1" applyFill="1" applyBorder="1"/>
    <x:xf numFmtId="0" fontId="55" fillId="27" borderId="53" xfId="0" applyNumberFormat="1" applyFont="1" applyFill="1" applyBorder="1"/>
    <x:xf numFmtId="0" fontId="55" fillId="27" borderId="51" xfId="0" applyNumberFormat="1" applyFont="1" applyFill="1" applyBorder="1" applyAlignment="1">
      <x:alignment vertical="center"/>
    </x:xf>
    <x:xf numFmtId="0" fontId="55" fillId="27" borderId="52" xfId="0" applyNumberFormat="1" applyFont="1" applyFill="1" applyBorder="1" applyAlignment="1">
      <x:alignment vertical="center"/>
    </x:xf>
    <x:xf numFmtId="0" fontId="55" fillId="27" borderId="53" xfId="0" applyNumberFormat="1" applyFont="1" applyFill="1" applyBorder="1" applyAlignment="1">
      <x:alignment vertical="center"/>
    </x:xf>
    <x:xf numFmtId="0" fontId="55" fillId="27" borderId="69" xfId="0" applyNumberFormat="1" applyFont="1" applyFill="1" applyBorder="1" applyAlignment="1">
      <x:alignment vertical="center"/>
    </x:xf>
    <x:xf numFmtId="0" fontId="55" fillId="27" borderId="70" xfId="0" applyNumberFormat="1" applyFont="1" applyFill="1" applyBorder="1" applyAlignment="1">
      <x:alignment vertical="center"/>
    </x:xf>
    <x:xf numFmtId="0" fontId="55" fillId="27" borderId="71" xfId="0" applyNumberFormat="1" applyFont="1" applyFill="1" applyBorder="1" applyAlignment="1">
      <x:alignment vertical="center"/>
    </x:xf>
    <x:xf numFmtId="206" fontId="52" fillId="22" borderId="54" xfId="0" applyNumberFormat="1" applyFont="1" applyFill="1" applyBorder="1" applyAlignment="1">
      <x:alignment horizontal="right"/>
    </x:xf>
    <x:xf numFmtId="0" fontId="35" fillId="21" borderId="0" xfId="0" applyNumberFormat="1" applyFont="1" applyFill="1" applyBorder="1"/>
    <x:xf numFmtId="0" fontId="35" fillId="21" borderId="0" xfId="0" applyNumberFormat="1" applyFont="1" applyFill="1" applyBorder="1" applyAlignment="1">
      <x:alignment vertical="center"/>
    </x:xf>
    <x:xf numFmtId="0" fontId="56" fillId="22" borderId="0" xfId="0" applyNumberFormat="1" applyFont="1" applyFill="1" applyBorder="1"/>
    <x:xf numFmtId="0" fontId="56" fillId="22" borderId="0" xfId="0" applyNumberFormat="1" applyFont="1" applyFill="1" applyBorder="1" applyAlignment="1">
      <x:alignment vertical="center"/>
    </x:xf>
    <x:xf numFmtId="0" fontId="21" fillId="28" borderId="0" xfId="0" applyNumberFormat="1" applyFont="1" applyFill="1" applyBorder="1"/>
    <x:xf numFmtId="0" fontId="36" fillId="28" borderId="0" xfId="0" applyNumberFormat="1" applyFont="1" applyFill="1" applyBorder="1"/>
    <x:xf numFmtId="0" fontId="36" fillId="28" borderId="0" xfId="0" applyNumberFormat="1" applyFont="1" applyFill="1" applyBorder="1" applyAlignment="1">
      <x:alignment wrapText="1"/>
    </x:xf>
    <x:xf numFmtId="0" fontId="36" fillId="28" borderId="0" xfId="0" applyNumberFormat="1" applyFont="1" applyFill="1" applyBorder="1" applyAlignment="1">
      <x:alignment horizontal="center" wrapText="1"/>
    </x:xf>
    <x:xf numFmtId="0" fontId="36" fillId="28" borderId="0" xfId="0" applyNumberFormat="1" applyFont="1" applyFill="1" applyBorder="1" applyAlignment="1">
      <x:alignment horizontal="center" vertical="center" wrapText="1"/>
    </x:xf>
    <x:xf numFmtId="0" fontId="29" fillId="20" borderId="0" xfId="0" applyNumberFormat="1" applyFont="1" applyFill="1" applyBorder="1"/>
    <x:xf numFmtId="0" fontId="57" fillId="20" borderId="0" xfId="0" applyNumberFormat="1" applyFont="1" applyFill="1" applyBorder="1"/>
    <x:xf numFmtId="0" fontId="58" fillId="20" borderId="0" xfId="0" applyNumberFormat="1" applyFont="1" applyFill="1" applyBorder="1"/>
    <x:xf numFmtId="0" fontId="59" fillId="20" borderId="0" xfId="0" applyNumberFormat="1" applyFont="1" applyFill="1" applyBorder="1"/>
    <x:xf numFmtId="0" fontId="29" fillId="22" borderId="0" xfId="0" applyNumberFormat="1" applyFont="1" applyFill="1" applyBorder="1"/>
    <x:xf numFmtId="0" fontId="57" fillId="22" borderId="0" xfId="0" applyNumberFormat="1" applyFont="1" applyFill="1" applyBorder="1"/>
    <x:xf numFmtId="0" fontId="58" fillId="22" borderId="0" xfId="0" applyNumberFormat="1" applyFont="1" applyFill="1" applyBorder="1"/>
    <x:xf numFmtId="0" fontId="59" fillId="22" borderId="0" xfId="0" applyNumberFormat="1" applyFont="1" applyFill="1" applyBorder="1"/>
    <x:xf numFmtId="0" fontId="37" fillId="22" borderId="0" xfId="0" applyNumberFormat="1" applyFont="1" applyFill="1" applyBorder="1"/>
    <x:xf numFmtId="0" fontId="40" fillId="22" borderId="0" xfId="0" applyNumberFormat="1" applyFont="1" applyFill="1" applyBorder="1"/>
    <x:xf numFmtId="0" fontId="37" fillId="22" xfId="0" applyNumberFormat="1" applyFont="1" applyFill="1" applyBorder="0"/>
    <x:xf numFmtId="0" fontId="40" fillId="22" xfId="0" applyNumberFormat="1" applyFont="1" applyFill="1" applyBorder="0"/>
    <x:xf numFmtId="0" fontId="37" fillId="22" borderId="47" xfId="0" applyNumberFormat="1" applyFont="1" applyFill="1" applyBorder="1"/>
    <x:xf numFmtId="0" fontId="40" fillId="22" borderId="47" xfId="0" applyNumberFormat="1" applyFont="1" applyFill="1" applyBorder="1"/>
    <x:xf numFmtId="0" fontId="37" fillId="22" xfId="0" applyNumberFormat="1" applyFont="1" applyFill="1" applyBorder="0" applyAlignment="1">
      <x:alignment vertical="center"/>
    </x:xf>
    <x:xf numFmtId="0" fontId="40" fillId="22" xfId="0" applyNumberFormat="1" applyFont="1" applyFill="1" applyBorder="0" applyAlignment="1">
      <x:alignment vertical="center"/>
    </x:xf>
    <x:xf numFmtId="0" fontId="37" fillId="22" borderId="47" xfId="0" applyNumberFormat="1" applyFont="1" applyFill="1" applyBorder="1" applyAlignment="1">
      <x:alignment vertical="center"/>
    </x:xf>
    <x:xf numFmtId="0" fontId="40" fillId="22" borderId="47" xfId="0" applyNumberFormat="1" applyFont="1" applyFill="1" applyBorder="1" applyAlignment="1">
      <x:alignment vertical="center"/>
    </x:xf>
    <x:xf numFmtId="0" fontId="37" fillId="29" xfId="0" applyNumberFormat="1" applyFont="1" applyFill="1" applyBorder="0" applyAlignment="1">
      <x:alignment vertical="center"/>
    </x:xf>
    <x:xf numFmtId="0" fontId="40" fillId="29" xfId="0" applyNumberFormat="1" applyFont="1" applyFill="1" applyBorder="0" applyAlignment="1">
      <x:alignment vertical="center"/>
    </x:xf>
    <x:xf numFmtId="0" fontId="37" fillId="29" borderId="47" xfId="0" applyNumberFormat="1" applyFont="1" applyFill="1" applyBorder="1" applyAlignment="1">
      <x:alignment vertical="center"/>
    </x:xf>
    <x:xf numFmtId="0" fontId="40" fillId="29" borderId="47" xfId="0" applyNumberFormat="1" applyFont="1" applyFill="1" applyBorder="1" applyAlignment="1">
      <x:alignment vertical="center"/>
    </x:xf>
    <x:xf numFmtId="0" fontId="48" fillId="29" xfId="0" applyNumberFormat="1" applyFont="1" applyFill="1" applyBorder="0" applyAlignment="1">
      <x:alignment vertical="center"/>
    </x:xf>
    <x:xf numFmtId="0" fontId="48" fillId="22" xfId="0" applyNumberFormat="1" applyFont="1" applyFill="1" applyBorder="0" applyAlignment="1">
      <x:alignment vertical="center"/>
    </x:xf>
    <x:xf numFmtId="0" fontId="48" fillId="29" borderId="47" xfId="0" applyNumberFormat="1" applyFont="1" applyFill="1" applyBorder="1" applyAlignment="1">
      <x:alignment vertical="center"/>
    </x:xf>
    <x:xf numFmtId="206" fontId="37" fillId="29" xfId="0" applyNumberFormat="1" applyFont="1" applyFill="1" applyBorder="0" applyAlignment="1">
      <x:alignment vertical="center"/>
    </x:xf>
    <x:xf numFmtId="206" fontId="37" fillId="22" xfId="0" applyNumberFormat="1" applyFont="1" applyFill="1" applyBorder="0" applyAlignment="1">
      <x:alignment vertical="center"/>
    </x:xf>
    <x:xf numFmtId="206" fontId="37" fillId="29" borderId="47" xfId="0" applyNumberFormat="1" applyFont="1" applyFill="1" applyBorder="1" applyAlignment="1">
      <x:alignment vertical="center"/>
    </x:xf>
    <x:xf numFmtId="164" fontId="37" fillId="29" xfId="0" applyNumberFormat="1" applyFont="1" applyFill="1" applyBorder="0" applyAlignment="1">
      <x:alignment vertical="center"/>
    </x:xf>
    <x:xf numFmtId="164" fontId="37" fillId="22" xfId="0" applyNumberFormat="1" applyFont="1" applyFill="1" applyBorder="0" applyAlignment="1">
      <x:alignment vertical="center"/>
    </x:xf>
    <x:xf numFmtId="164" fontId="37" fillId="29" borderId="47" xfId="0" applyNumberFormat="1" applyFont="1" applyFill="1" applyBorder="1" applyAlignment="1">
      <x:alignment vertical="center"/>
    </x:xf>
    <x:xf numFmtId="201" fontId="37" fillId="29" xfId="0" applyNumberFormat="1" applyFont="1" applyFill="1" applyBorder="0" applyAlignment="1">
      <x:alignment vertical="center"/>
    </x:xf>
    <x:xf numFmtId="201" fontId="37" fillId="22" xfId="0" applyNumberFormat="1" applyFont="1" applyFill="1" applyBorder="0" applyAlignment="1">
      <x:alignment vertical="center"/>
    </x:xf>
    <x:xf numFmtId="201" fontId="37" fillId="29" borderId="47" xfId="0" applyNumberFormat="1" applyFont="1" applyFill="1" applyBorder="1" applyAlignment="1">
      <x:alignment vertical="center"/>
    </x:xf>
    <x:xf numFmtId="203" fontId="37" fillId="29" xfId="0" applyNumberFormat="1" applyFont="1" applyFill="1" applyBorder="0" applyAlignment="1">
      <x:alignment vertical="center"/>
    </x:xf>
    <x:xf numFmtId="203" fontId="37" fillId="22" xfId="0" applyNumberFormat="1" applyFont="1" applyFill="1" applyBorder="0" applyAlignment="1">
      <x:alignment vertical="center"/>
    </x:xf>
    <x:xf numFmtId="203" fontId="37" fillId="29" borderId="47" xfId="0" applyNumberFormat="1" applyFont="1" applyFill="1" applyBorder="1" applyAlignment="1">
      <x:alignment vertical="center"/>
    </x:xf>
    <x:xf numFmtId="205" fontId="37" fillId="29" xfId="0" applyNumberFormat="1" applyFont="1" applyFill="1" applyBorder="0" applyAlignment="1">
      <x:alignment vertical="center"/>
    </x:xf>
    <x:xf numFmtId="205" fontId="37" fillId="22" xfId="0" applyNumberFormat="1" applyFont="1" applyFill="1" applyBorder="0" applyAlignment="1">
      <x:alignment vertical="center"/>
    </x:xf>
    <x:xf numFmtId="205" fontId="37" fillId="29" borderId="47" xfId="0" applyNumberFormat="1" applyFont="1" applyFill="1" applyBorder="1" applyAlignment="1">
      <x:alignment vertical="center"/>
    </x:xf>
    <x:xf numFmtId="208" fontId="37" fillId="29" xfId="0" applyNumberFormat="1" applyFont="1" applyFill="1" applyBorder="0" applyAlignment="1">
      <x:alignment vertical="center"/>
    </x:xf>
    <x:xf numFmtId="208" fontId="37" fillId="22" xfId="0" applyNumberFormat="1" applyFont="1" applyFill="1" applyBorder="0" applyAlignment="1">
      <x:alignment vertical="center"/>
    </x:xf>
    <x:xf numFmtId="208" fontId="37" fillId="29" borderId="47" xfId="0" applyNumberFormat="1" applyFont="1" applyFill="1" applyBorder="1" applyAlignment="1">
      <x:alignment vertical="center"/>
    </x:xf>
    <x:xf numFmtId="206" fontId="37" fillId="29" xfId="0" applyNumberFormat="1" applyFont="1" applyFill="1" applyBorder="0" applyAlignment="1">
      <x:alignment horizontal="right" vertical="center"/>
    </x:xf>
    <x:xf numFmtId="164" fontId="37" fillId="29" xfId="0" applyNumberFormat="1" applyFont="1" applyFill="1" applyBorder="0" applyAlignment="1">
      <x:alignment horizontal="right" vertical="center"/>
    </x:xf>
    <x:xf numFmtId="201" fontId="37" fillId="29" xfId="0" applyNumberFormat="1" applyFont="1" applyFill="1" applyBorder="0" applyAlignment="1">
      <x:alignment horizontal="right" vertical="center"/>
    </x:xf>
    <x:xf numFmtId="203" fontId="37" fillId="29" xfId="0" applyNumberFormat="1" applyFont="1" applyFill="1" applyBorder="0" applyAlignment="1">
      <x:alignment horizontal="right" vertical="center"/>
    </x:xf>
    <x:xf numFmtId="205" fontId="37" fillId="29" xfId="0" applyNumberFormat="1" applyFont="1" applyFill="1" applyBorder="0" applyAlignment="1">
      <x:alignment horizontal="right" vertical="center"/>
    </x:xf>
    <x:xf numFmtId="206" fontId="37" fillId="22" xfId="0" applyNumberFormat="1" applyFont="1" applyFill="1" applyBorder="0" applyAlignment="1">
      <x:alignment horizontal="right" vertical="center"/>
    </x:xf>
    <x:xf numFmtId="164" fontId="37" fillId="22" xfId="0" applyNumberFormat="1" applyFont="1" applyFill="1" applyBorder="0" applyAlignment="1">
      <x:alignment horizontal="right" vertical="center"/>
    </x:xf>
    <x:xf numFmtId="201" fontId="37" fillId="22" xfId="0" applyNumberFormat="1" applyFont="1" applyFill="1" applyBorder="0" applyAlignment="1">
      <x:alignment horizontal="right" vertical="center"/>
    </x:xf>
    <x:xf numFmtId="203" fontId="37" fillId="22" xfId="0" applyNumberFormat="1" applyFont="1" applyFill="1" applyBorder="0" applyAlignment="1">
      <x:alignment horizontal="right" vertical="center"/>
    </x:xf>
    <x:xf numFmtId="205" fontId="37" fillId="22" xfId="0" applyNumberFormat="1" applyFont="1" applyFill="1" applyBorder="0" applyAlignment="1">
      <x:alignment horizontal="right" vertical="center"/>
    </x:xf>
    <x:xf numFmtId="206" fontId="37" fillId="29" borderId="47" xfId="0" applyNumberFormat="1" applyFont="1" applyFill="1" applyBorder="1" applyAlignment="1">
      <x:alignment horizontal="right" vertical="center"/>
    </x:xf>
    <x:xf numFmtId="164" fontId="37" fillId="29" borderId="47" xfId="0" applyNumberFormat="1" applyFont="1" applyFill="1" applyBorder="1" applyAlignment="1">
      <x:alignment horizontal="right" vertical="center"/>
    </x:xf>
    <x:xf numFmtId="201" fontId="37" fillId="29" borderId="47" xfId="0" applyNumberFormat="1" applyFont="1" applyFill="1" applyBorder="1" applyAlignment="1">
      <x:alignment horizontal="right" vertical="center"/>
    </x:xf>
    <x:xf numFmtId="203" fontId="37" fillId="29" borderId="47" xfId="0" applyNumberFormat="1" applyFont="1" applyFill="1" applyBorder="1" applyAlignment="1">
      <x:alignment horizontal="right" vertical="center"/>
    </x:xf>
    <x:xf numFmtId="205" fontId="37" fillId="29" borderId="47" xfId="0" applyNumberFormat="1" applyFont="1" applyFill="1" applyBorder="1" applyAlignment="1">
      <x:alignment horizontal="right" vertical="center"/>
    </x:xf>
    <x:xf numFmtId="0" fontId="37" fillId="29" xfId="0" applyNumberFormat="1" applyFont="1" applyFill="1" applyBorder="0" applyAlignment="1">
      <x:alignment horizontal="center" vertical="center"/>
    </x:xf>
    <x:xf numFmtId="0" fontId="40" fillId="29" xfId="0" applyNumberFormat="1" applyFont="1" applyFill="1" applyBorder="0" applyAlignment="1">
      <x:alignment horizontal="center" vertical="center"/>
    </x:xf>
    <x:xf numFmtId="208" fontId="37" fillId="29" xfId="0" applyNumberFormat="1" applyFont="1" applyFill="1" applyBorder="0" applyAlignment="1">
      <x:alignment horizontal="center" vertical="center"/>
    </x:xf>
    <x:xf numFmtId="0" fontId="37" fillId="22" xfId="0" applyNumberFormat="1" applyFont="1" applyFill="1" applyBorder="0" applyAlignment="1">
      <x:alignment horizontal="center" vertical="center"/>
    </x:xf>
    <x:xf numFmtId="0" fontId="40" fillId="22" xfId="0" applyNumberFormat="1" applyFont="1" applyFill="1" applyBorder="0" applyAlignment="1">
      <x:alignment horizontal="center" vertical="center"/>
    </x:xf>
    <x:xf numFmtId="208" fontId="37" fillId="22" xfId="0" applyNumberFormat="1" applyFont="1" applyFill="1" applyBorder="0" applyAlignment="1">
      <x:alignment horizontal="center" vertical="center"/>
    </x:xf>
    <x:xf numFmtId="0" fontId="37" fillId="29" borderId="47" xfId="0" applyNumberFormat="1" applyFont="1" applyFill="1" applyBorder="1" applyAlignment="1">
      <x:alignment horizontal="center" vertical="center"/>
    </x:xf>
    <x:xf numFmtId="0" fontId="40" fillId="29" borderId="47" xfId="0" applyNumberFormat="1" applyFont="1" applyFill="1" applyBorder="1" applyAlignment="1">
      <x:alignment horizontal="center" vertical="center"/>
    </x:xf>
    <x:xf numFmtId="208" fontId="37" fillId="29" borderId="47" xfId="0" applyNumberFormat="1" applyFont="1" applyFill="1" applyBorder="1" applyAlignment="1">
      <x:alignment horizontal="center" vertical="center"/>
    </x:xf>
    <x:xf numFmtId="0" fontId="21" fillId="24" borderId="0" xfId="0" applyNumberFormat="1" applyFont="1" applyFill="1" applyBorder="1"/>
    <x:xf numFmtId="0" fontId="21" fillId="24" borderId="54" xfId="0" applyNumberFormat="1" applyFont="1" applyFill="1" applyBorder="1"/>
    <x:xf numFmtId="0" fontId="21" fillId="24" xfId="0" applyNumberFormat="1" applyFont="1" applyFill="1" applyBorder="0"/>
    <x:xf numFmtId="0" fontId="21" fillId="24" borderId="55" xfId="0" applyNumberFormat="1" applyFont="1" applyFill="1" applyBorder="1"/>
    <x:xf numFmtId="0" fontId="21" fillId="24" borderId="56" xfId="0" applyNumberFormat="1" applyFont="1" applyFill="1" applyBorder="1"/>
    <x:xf numFmtId="0" fontId="21" fillId="24" borderId="47" xfId="0" applyNumberFormat="1" applyFont="1" applyFill="1" applyBorder="1"/>
    <x:xf numFmtId="0" fontId="21" fillId="24" borderId="57" xfId="0" applyNumberFormat="1" applyFont="1" applyFill="1" applyBorder="1"/>
    <x:xf numFmtId="0" fontId="21" fillId="30" borderId="51" xfId="0" applyNumberFormat="1" applyFont="1" applyFill="1" applyBorder="1"/>
    <x:xf numFmtId="0" fontId="21" fillId="30" borderId="52" xfId="0" applyNumberFormat="1" applyFont="1" applyFill="1" applyBorder="1"/>
    <x:xf numFmtId="0" fontId="21" fillId="30" borderId="53" xfId="0" applyNumberFormat="1" applyFont="1" applyFill="1" applyBorder="1"/>
    <x:xf numFmtId="0" fontId="36" fillId="30" borderId="51" xfId="0" applyNumberFormat="1" applyFont="1" applyFill="1" applyBorder="1"/>
    <x:xf numFmtId="0" fontId="36" fillId="30" borderId="52" xfId="0" applyNumberFormat="1" applyFont="1" applyFill="1" applyBorder="1"/>
    <x:xf numFmtId="0" fontId="36" fillId="30" borderId="53" xfId="0" applyNumberFormat="1" applyFont="1" applyFill="1" applyBorder="1"/>
    <x:xf numFmtId="0" fontId="36" fillId="30" borderId="51" xfId="0" applyNumberFormat="1" applyFont="1" applyFill="1" applyBorder="1" applyAlignment="1">
      <x:alignment horizontal="center"/>
    </x:xf>
    <x:xf numFmtId="0" fontId="36" fillId="30" borderId="52" xfId="0" applyNumberFormat="1" applyFont="1" applyFill="1" applyBorder="1" applyAlignment="1">
      <x:alignment horizontal="center"/>
    </x:xf>
    <x:xf numFmtId="0" fontId="36" fillId="30" borderId="53" xfId="0" applyNumberFormat="1" applyFont="1" applyFill="1" applyBorder="1" applyAlignment="1">
      <x:alignment horizontal="center"/>
    </x:xf>
    <x:xf numFmtId="0" fontId="36" fillId="30" borderId="51" xfId="0" applyNumberFormat="1" applyFont="1" applyFill="1" applyBorder="1" applyAlignment="1">
      <x:alignment horizontal="center" vertical="center"/>
    </x:xf>
    <x:xf numFmtId="0" fontId="36" fillId="30" borderId="52" xfId="0" applyNumberFormat="1" applyFont="1" applyFill="1" applyBorder="1" applyAlignment="1">
      <x:alignment horizontal="center" vertical="center"/>
    </x:xf>
    <x:xf numFmtId="0" fontId="36" fillId="30" borderId="53" xfId="0" applyNumberFormat="1" applyFont="1" applyFill="1" applyBorder="1" applyAlignment="1">
      <x:alignment horizontal="center" vertical="center"/>
    </x:xf>
    <x:xf numFmtId="0" fontId="60" fillId="24" borderId="54" xfId="0" applyNumberFormat="1" applyFont="1" applyFill="1" applyBorder="1"/>
    <x:xf numFmtId="0" fontId="60" fillId="24" xfId="0" applyNumberFormat="1" applyFont="1" applyFill="1" applyBorder="0"/>
    <x:xf numFmtId="0" fontId="60" fillId="24" borderId="55" xfId="0" applyNumberFormat="1" applyFont="1" applyFill="1" applyBorder="1"/>
    <x:xf numFmtId="0" fontId="60" fillId="24" borderId="54" xfId="0" applyNumberFormat="1" applyFont="1" applyFill="1" applyBorder="1" applyAlignment="1">
      <x:alignment horizontal="center"/>
    </x:xf>
    <x:xf numFmtId="0" fontId="60" fillId="24" xfId="0" applyNumberFormat="1" applyFont="1" applyFill="1" applyBorder="0" applyAlignment="1">
      <x:alignment horizontal="center"/>
    </x:xf>
    <x:xf numFmtId="0" fontId="60" fillId="24" borderId="55" xfId="0" applyNumberFormat="1" applyFont="1" applyFill="1" applyBorder="1" applyAlignment="1">
      <x:alignment horizontal="center"/>
    </x:xf>
    <x:xf numFmtId="0" fontId="37" fillId="24" borderId="54" xfId="0" applyNumberFormat="1" applyFont="1" applyFill="1" applyBorder="1"/>
    <x:xf numFmtId="0" fontId="37" fillId="24" xfId="0" applyNumberFormat="1" applyFont="1" applyFill="1" applyBorder="0"/>
    <x:xf numFmtId="0" fontId="37" fillId="24" borderId="55" xfId="0" applyNumberFormat="1" applyFont="1" applyFill="1" applyBorder="1"/>
    <x:xf numFmtId="0" fontId="37" fillId="24" borderId="56" xfId="0" applyNumberFormat="1" applyFont="1" applyFill="1" applyBorder="1"/>
    <x:xf numFmtId="0" fontId="37" fillId="24" borderId="47" xfId="0" applyNumberFormat="1" applyFont="1" applyFill="1" applyBorder="1"/>
    <x:xf numFmtId="0" fontId="37" fillId="24" borderId="57" xfId="0" applyNumberFormat="1" applyFont="1" applyFill="1" applyBorder="1"/>
    <x:xf numFmtId="0" fontId="37" fillId="24" borderId="54" xfId="0" applyNumberFormat="1" applyFont="1" applyFill="1" applyBorder="1" applyAlignment="1">
      <x:alignment wrapText="1"/>
    </x:xf>
    <x:xf numFmtId="0" fontId="37" fillId="24" xfId="0" applyNumberFormat="1" applyFont="1" applyFill="1" applyBorder="0" applyAlignment="1">
      <x:alignment wrapText="1"/>
    </x:xf>
    <x:xf numFmtId="0" fontId="37" fillId="24" borderId="55" xfId="0" applyNumberFormat="1" applyFont="1" applyFill="1" applyBorder="1" applyAlignment="1">
      <x:alignment wrapText="1"/>
    </x:xf>
    <x:xf numFmtId="0" fontId="37" fillId="24" borderId="56" xfId="0" applyNumberFormat="1" applyFont="1" applyFill="1" applyBorder="1" applyAlignment="1">
      <x:alignment wrapText="1"/>
    </x:xf>
    <x:xf numFmtId="0" fontId="37" fillId="24" borderId="47" xfId="0" applyNumberFormat="1" applyFont="1" applyFill="1" applyBorder="1" applyAlignment="1">
      <x:alignment wrapText="1"/>
    </x:xf>
    <x:xf numFmtId="0" fontId="37" fillId="24" borderId="57" xfId="0" applyNumberFormat="1" applyFont="1" applyFill="1" applyBorder="1" applyAlignment="1">
      <x:alignment wrapText="1"/>
    </x:xf>
    <x:xf numFmtId="0" fontId="37" fillId="24" borderId="54" xfId="0" applyNumberFormat="1" applyFont="1" applyFill="1" applyBorder="1" applyAlignment="1">
      <x:alignment horizontal="left" wrapText="1"/>
    </x:xf>
    <x:xf numFmtId="0" fontId="37" fillId="24" xfId="0" applyNumberFormat="1" applyFont="1" applyFill="1" applyBorder="0" applyAlignment="1">
      <x:alignment horizontal="left" wrapText="1"/>
    </x:xf>
    <x:xf numFmtId="0" fontId="37" fillId="24" borderId="55" xfId="0" applyNumberFormat="1" applyFont="1" applyFill="1" applyBorder="1" applyAlignment="1">
      <x:alignment horizontal="left" wrapText="1"/>
    </x:xf>
    <x:xf numFmtId="0" fontId="37" fillId="24" borderId="56" xfId="0" applyNumberFormat="1" applyFont="1" applyFill="1" applyBorder="1" applyAlignment="1">
      <x:alignment horizontal="left" wrapText="1"/>
    </x:xf>
    <x:xf numFmtId="0" fontId="37" fillId="24" borderId="47" xfId="0" applyNumberFormat="1" applyFont="1" applyFill="1" applyBorder="1" applyAlignment="1">
      <x:alignment horizontal="left" wrapText="1"/>
    </x:xf>
    <x:xf numFmtId="0" fontId="37" fillId="24" borderId="57" xfId="0" applyNumberFormat="1" applyFont="1" applyFill="1" applyBorder="1" applyAlignment="1">
      <x:alignment horizontal="left" wrapText="1"/>
    </x:xf>
    <x:xf numFmtId="0" fontId="37" fillId="24" borderId="54" xfId="0" applyNumberFormat="1" applyFont="1" applyFill="1" applyBorder="1" applyAlignment="1">
      <x:alignment horizontal="left" vertical="center" wrapText="1"/>
    </x:xf>
    <x:xf numFmtId="0" fontId="37" fillId="24" xfId="0" applyNumberFormat="1" applyFont="1" applyFill="1" applyBorder="0" applyAlignment="1">
      <x:alignment horizontal="left" vertical="center" wrapText="1"/>
    </x:xf>
    <x:xf numFmtId="0" fontId="37" fillId="24" borderId="55" xfId="0" applyNumberFormat="1" applyFont="1" applyFill="1" applyBorder="1" applyAlignment="1">
      <x:alignment horizontal="left" vertical="center" wrapText="1"/>
    </x:xf>
    <x:xf numFmtId="0" fontId="37" fillId="24" borderId="56" xfId="0" applyNumberFormat="1" applyFont="1" applyFill="1" applyBorder="1" applyAlignment="1">
      <x:alignment horizontal="left" vertical="center" wrapText="1"/>
    </x:xf>
    <x:xf numFmtId="0" fontId="37" fillId="24" borderId="47" xfId="0" applyNumberFormat="1" applyFont="1" applyFill="1" applyBorder="1" applyAlignment="1">
      <x:alignment horizontal="left" vertical="center" wrapText="1"/>
    </x:xf>
    <x:xf numFmtId="0" fontId="37" fillId="24" borderId="57" xfId="0" applyNumberFormat="1" applyFont="1" applyFill="1" applyBorder="1" applyAlignment="1">
      <x:alignment horizontal="left" vertical="center" wrapText="1"/>
    </x:xf>
    <x:xf numFmtId="0" fontId="21" fillId="23" borderId="0" xfId="0" applyNumberFormat="1" applyFont="1" applyFill="1" applyBorder="1"/>
    <x:xf numFmtId="0" fontId="21" fillId="23" borderId="54" xfId="0" applyNumberFormat="1" applyFont="1" applyFill="1" applyBorder="1"/>
    <x:xf numFmtId="0" fontId="21" fillId="23" xfId="0" applyNumberFormat="1" applyFont="1" applyFill="1" applyBorder="0"/>
    <x:xf numFmtId="0" fontId="21" fillId="23" borderId="55" xfId="0" applyNumberFormat="1" applyFont="1" applyFill="1" applyBorder="1"/>
    <x:xf numFmtId="0" fontId="21" fillId="23" borderId="56" xfId="0" applyNumberFormat="1" applyFont="1" applyFill="1" applyBorder="1"/>
    <x:xf numFmtId="0" fontId="21" fillId="23" borderId="47" xfId="0" applyNumberFormat="1" applyFont="1" applyFill="1" applyBorder="1"/>
    <x:xf numFmtId="0" fontId="21" fillId="23" borderId="57" xfId="0" applyNumberFormat="1" applyFont="1" applyFill="1" applyBorder="1"/>
    <x:xf numFmtId="0" fontId="21" fillId="19" borderId="51" xfId="0" applyNumberFormat="1" applyFont="1" applyFill="1" applyBorder="1"/>
    <x:xf numFmtId="0" fontId="21" fillId="19" borderId="52" xfId="0" applyNumberFormat="1" applyFont="1" applyFill="1" applyBorder="1"/>
    <x:xf numFmtId="0" fontId="21" fillId="19" borderId="53" xfId="0" applyNumberFormat="1" applyFont="1" applyFill="1" applyBorder="1"/>
    <x:xf numFmtId="0" fontId="36" fillId="19" borderId="51" xfId="0" applyNumberFormat="1" applyFont="1" applyFill="1" applyBorder="1"/>
    <x:xf numFmtId="0" fontId="36" fillId="19" borderId="52" xfId="0" applyNumberFormat="1" applyFont="1" applyFill="1" applyBorder="1"/>
    <x:xf numFmtId="0" fontId="36" fillId="19" borderId="53" xfId="0" applyNumberFormat="1" applyFont="1" applyFill="1" applyBorder="1"/>
    <x:xf numFmtId="0" fontId="36" fillId="19" borderId="51" xfId="0" applyNumberFormat="1" applyFont="1" applyFill="1" applyBorder="1" applyAlignment="1">
      <x:alignment horizontal="center"/>
    </x:xf>
    <x:xf numFmtId="0" fontId="36" fillId="19" borderId="52" xfId="0" applyNumberFormat="1" applyFont="1" applyFill="1" applyBorder="1" applyAlignment="1">
      <x:alignment horizontal="center"/>
    </x:xf>
    <x:xf numFmtId="0" fontId="36" fillId="19" borderId="53" xfId="0" applyNumberFormat="1" applyFont="1" applyFill="1" applyBorder="1" applyAlignment="1">
      <x:alignment horizontal="center"/>
    </x:xf>
    <x:xf numFmtId="0" fontId="36" fillId="19" borderId="51" xfId="0" applyNumberFormat="1" applyFont="1" applyFill="1" applyBorder="1" applyAlignment="1">
      <x:alignment horizontal="center" vertical="center"/>
    </x:xf>
    <x:xf numFmtId="0" fontId="36" fillId="19" borderId="52" xfId="0" applyNumberFormat="1" applyFont="1" applyFill="1" applyBorder="1" applyAlignment="1">
      <x:alignment horizontal="center" vertical="center"/>
    </x:xf>
    <x:xf numFmtId="0" fontId="36" fillId="19" borderId="53" xfId="0" applyNumberFormat="1" applyFont="1" applyFill="1" applyBorder="1" applyAlignment="1">
      <x:alignment horizontal="center" vertical="center"/>
    </x:xf>
    <x:xf numFmtId="0" fontId="61" fillId="23" borderId="54" xfId="0" applyNumberFormat="1" applyFont="1" applyFill="1" applyBorder="1"/>
    <x:xf numFmtId="0" fontId="61" fillId="23" xfId="0" applyNumberFormat="1" applyFont="1" applyFill="1" applyBorder="0"/>
    <x:xf numFmtId="0" fontId="61" fillId="23" borderId="55" xfId="0" applyNumberFormat="1" applyFont="1" applyFill="1" applyBorder="1"/>
    <x:xf numFmtId="0" fontId="61" fillId="23" borderId="54" xfId="0" applyNumberFormat="1" applyFont="1" applyFill="1" applyBorder="1" applyAlignment="1">
      <x:alignment horizontal="center"/>
    </x:xf>
    <x:xf numFmtId="0" fontId="61" fillId="23" xfId="0" applyNumberFormat="1" applyFont="1" applyFill="1" applyBorder="0" applyAlignment="1">
      <x:alignment horizontal="center"/>
    </x:xf>
    <x:xf numFmtId="0" fontId="61" fillId="23" borderId="55" xfId="0" applyNumberFormat="1" applyFont="1" applyFill="1" applyBorder="1" applyAlignment="1">
      <x:alignment horizontal="center"/>
    </x:xf>
    <x:xf numFmtId="0" fontId="37" fillId="23" borderId="54" xfId="0" applyNumberFormat="1" applyFont="1" applyFill="1" applyBorder="1"/>
    <x:xf numFmtId="0" fontId="37" fillId="23" xfId="0" applyNumberFormat="1" applyFont="1" applyFill="1" applyBorder="0"/>
    <x:xf numFmtId="0" fontId="37" fillId="23" borderId="55" xfId="0" applyNumberFormat="1" applyFont="1" applyFill="1" applyBorder="1"/>
    <x:xf numFmtId="0" fontId="37" fillId="23" borderId="56" xfId="0" applyNumberFormat="1" applyFont="1" applyFill="1" applyBorder="1"/>
    <x:xf numFmtId="0" fontId="37" fillId="23" borderId="47" xfId="0" applyNumberFormat="1" applyFont="1" applyFill="1" applyBorder="1"/>
    <x:xf numFmtId="0" fontId="37" fillId="23" borderId="57" xfId="0" applyNumberFormat="1" applyFont="1" applyFill="1" applyBorder="1"/>
    <x:xf numFmtId="0" fontId="37" fillId="23" borderId="54" xfId="0" applyNumberFormat="1" applyFont="1" applyFill="1" applyBorder="1" applyAlignment="1">
      <x:alignment wrapText="1"/>
    </x:xf>
    <x:xf numFmtId="0" fontId="37" fillId="23" xfId="0" applyNumberFormat="1" applyFont="1" applyFill="1" applyBorder="0" applyAlignment="1">
      <x:alignment wrapText="1"/>
    </x:xf>
    <x:xf numFmtId="0" fontId="37" fillId="23" borderId="55" xfId="0" applyNumberFormat="1" applyFont="1" applyFill="1" applyBorder="1" applyAlignment="1">
      <x:alignment wrapText="1"/>
    </x:xf>
    <x:xf numFmtId="0" fontId="37" fillId="23" borderId="56" xfId="0" applyNumberFormat="1" applyFont="1" applyFill="1" applyBorder="1" applyAlignment="1">
      <x:alignment wrapText="1"/>
    </x:xf>
    <x:xf numFmtId="0" fontId="37" fillId="23" borderId="47" xfId="0" applyNumberFormat="1" applyFont="1" applyFill="1" applyBorder="1" applyAlignment="1">
      <x:alignment wrapText="1"/>
    </x:xf>
    <x:xf numFmtId="0" fontId="37" fillId="23" borderId="57" xfId="0" applyNumberFormat="1" applyFont="1" applyFill="1" applyBorder="1" applyAlignment="1">
      <x:alignment wrapText="1"/>
    </x:xf>
    <x:xf numFmtId="0" fontId="37" fillId="23" borderId="54" xfId="0" applyNumberFormat="1" applyFont="1" applyFill="1" applyBorder="1" applyAlignment="1">
      <x:alignment horizontal="left" wrapText="1"/>
    </x:xf>
    <x:xf numFmtId="0" fontId="37" fillId="23" xfId="0" applyNumberFormat="1" applyFont="1" applyFill="1" applyBorder="0" applyAlignment="1">
      <x:alignment horizontal="left" wrapText="1"/>
    </x:xf>
    <x:xf numFmtId="0" fontId="37" fillId="23" borderId="55" xfId="0" applyNumberFormat="1" applyFont="1" applyFill="1" applyBorder="1" applyAlignment="1">
      <x:alignment horizontal="left" wrapText="1"/>
    </x:xf>
    <x:xf numFmtId="0" fontId="37" fillId="23" borderId="56" xfId="0" applyNumberFormat="1" applyFont="1" applyFill="1" applyBorder="1" applyAlignment="1">
      <x:alignment horizontal="left" wrapText="1"/>
    </x:xf>
    <x:xf numFmtId="0" fontId="37" fillId="23" borderId="47" xfId="0" applyNumberFormat="1" applyFont="1" applyFill="1" applyBorder="1" applyAlignment="1">
      <x:alignment horizontal="left" wrapText="1"/>
    </x:xf>
    <x:xf numFmtId="0" fontId="37" fillId="23" borderId="57" xfId="0" applyNumberFormat="1" applyFont="1" applyFill="1" applyBorder="1" applyAlignment="1">
      <x:alignment horizontal="left" wrapText="1"/>
    </x:xf>
    <x:xf numFmtId="0" fontId="37" fillId="23" borderId="54" xfId="0" applyNumberFormat="1" applyFont="1" applyFill="1" applyBorder="1" applyAlignment="1">
      <x:alignment horizontal="left" vertical="center" wrapText="1"/>
    </x:xf>
    <x:xf numFmtId="0" fontId="37" fillId="23" xfId="0" applyNumberFormat="1" applyFont="1" applyFill="1" applyBorder="0" applyAlignment="1">
      <x:alignment horizontal="left" vertical="center" wrapText="1"/>
    </x:xf>
    <x:xf numFmtId="0" fontId="37" fillId="23" borderId="55" xfId="0" applyNumberFormat="1" applyFont="1" applyFill="1" applyBorder="1" applyAlignment="1">
      <x:alignment horizontal="left" vertical="center" wrapText="1"/>
    </x:xf>
    <x:xf numFmtId="0" fontId="37" fillId="23" borderId="56" xfId="0" applyNumberFormat="1" applyFont="1" applyFill="1" applyBorder="1" applyAlignment="1">
      <x:alignment horizontal="left" vertical="center" wrapText="1"/>
    </x:xf>
    <x:xf numFmtId="0" fontId="37" fillId="23" borderId="47" xfId="0" applyNumberFormat="1" applyFont="1" applyFill="1" applyBorder="1" applyAlignment="1">
      <x:alignment horizontal="left" vertical="center" wrapText="1"/>
    </x:xf>
    <x:xf numFmtId="0" fontId="37" fillId="23" borderId="57" xfId="0" applyNumberFormat="1" applyFont="1" applyFill="1" applyBorder="1" applyAlignment="1">
      <x:alignment horizontal="left" vertical="center" wrapText="1"/>
    </x:xf>
    <x:xf numFmtId="0" fontId="21" fillId="25" borderId="0" xfId="0" applyNumberFormat="1" applyFont="1" applyFill="1" applyBorder="1"/>
    <x:xf numFmtId="0" fontId="21" fillId="25" borderId="54" xfId="0" applyNumberFormat="1" applyFont="1" applyFill="1" applyBorder="1"/>
    <x:xf numFmtId="0" fontId="21" fillId="25" xfId="0" applyNumberFormat="1" applyFont="1" applyFill="1" applyBorder="0"/>
    <x:xf numFmtId="0" fontId="21" fillId="25" borderId="55" xfId="0" applyNumberFormat="1" applyFont="1" applyFill="1" applyBorder="1"/>
    <x:xf numFmtId="0" fontId="21" fillId="25" borderId="56" xfId="0" applyNumberFormat="1" applyFont="1" applyFill="1" applyBorder="1"/>
    <x:xf numFmtId="0" fontId="21" fillId="25" borderId="47" xfId="0" applyNumberFormat="1" applyFont="1" applyFill="1" applyBorder="1"/>
    <x:xf numFmtId="0" fontId="21" fillId="25" borderId="57" xfId="0" applyNumberFormat="1" applyFont="1" applyFill="1" applyBorder="1"/>
    <x:xf numFmtId="0" fontId="21" fillId="31" borderId="51" xfId="0" applyNumberFormat="1" applyFont="1" applyFill="1" applyBorder="1"/>
    <x:xf numFmtId="0" fontId="21" fillId="31" borderId="52" xfId="0" applyNumberFormat="1" applyFont="1" applyFill="1" applyBorder="1"/>
    <x:xf numFmtId="0" fontId="21" fillId="31" borderId="53" xfId="0" applyNumberFormat="1" applyFont="1" applyFill="1" applyBorder="1"/>
    <x:xf numFmtId="0" fontId="36" fillId="31" borderId="51" xfId="0" applyNumberFormat="1" applyFont="1" applyFill="1" applyBorder="1"/>
    <x:xf numFmtId="0" fontId="36" fillId="31" borderId="52" xfId="0" applyNumberFormat="1" applyFont="1" applyFill="1" applyBorder="1"/>
    <x:xf numFmtId="0" fontId="36" fillId="31" borderId="53" xfId="0" applyNumberFormat="1" applyFont="1" applyFill="1" applyBorder="1"/>
    <x:xf numFmtId="0" fontId="36" fillId="31" borderId="51" xfId="0" applyNumberFormat="1" applyFont="1" applyFill="1" applyBorder="1" applyAlignment="1">
      <x:alignment horizontal="center"/>
    </x:xf>
    <x:xf numFmtId="0" fontId="36" fillId="31" borderId="52" xfId="0" applyNumberFormat="1" applyFont="1" applyFill="1" applyBorder="1" applyAlignment="1">
      <x:alignment horizontal="center"/>
    </x:xf>
    <x:xf numFmtId="0" fontId="36" fillId="31" borderId="53" xfId="0" applyNumberFormat="1" applyFont="1" applyFill="1" applyBorder="1" applyAlignment="1">
      <x:alignment horizontal="center"/>
    </x:xf>
    <x:xf numFmtId="0" fontId="36" fillId="31" borderId="51" xfId="0" applyNumberFormat="1" applyFont="1" applyFill="1" applyBorder="1" applyAlignment="1">
      <x:alignment horizontal="center" vertical="center"/>
    </x:xf>
    <x:xf numFmtId="0" fontId="36" fillId="31" borderId="52" xfId="0" applyNumberFormat="1" applyFont="1" applyFill="1" applyBorder="1" applyAlignment="1">
      <x:alignment horizontal="center" vertical="center"/>
    </x:xf>
    <x:xf numFmtId="0" fontId="36" fillId="31" borderId="53" xfId="0" applyNumberFormat="1" applyFont="1" applyFill="1" applyBorder="1" applyAlignment="1">
      <x:alignment horizontal="center" vertical="center"/>
    </x:xf>
    <x:xf numFmtId="0" fontId="62" fillId="25" borderId="54" xfId="0" applyNumberFormat="1" applyFont="1" applyFill="1" applyBorder="1"/>
    <x:xf numFmtId="0" fontId="62" fillId="25" xfId="0" applyNumberFormat="1" applyFont="1" applyFill="1" applyBorder="0"/>
    <x:xf numFmtId="0" fontId="62" fillId="25" borderId="55" xfId="0" applyNumberFormat="1" applyFont="1" applyFill="1" applyBorder="1"/>
    <x:xf numFmtId="0" fontId="62" fillId="25" borderId="54" xfId="0" applyNumberFormat="1" applyFont="1" applyFill="1" applyBorder="1" applyAlignment="1">
      <x:alignment horizontal="center"/>
    </x:xf>
    <x:xf numFmtId="0" fontId="62" fillId="25" xfId="0" applyNumberFormat="1" applyFont="1" applyFill="1" applyBorder="0" applyAlignment="1">
      <x:alignment horizontal="center"/>
    </x:xf>
    <x:xf numFmtId="0" fontId="62" fillId="25" borderId="55" xfId="0" applyNumberFormat="1" applyFont="1" applyFill="1" applyBorder="1" applyAlignment="1">
      <x:alignment horizontal="center"/>
    </x:xf>
    <x:xf numFmtId="0" fontId="37" fillId="25" borderId="54" xfId="0" applyNumberFormat="1" applyFont="1" applyFill="1" applyBorder="1"/>
    <x:xf numFmtId="0" fontId="37" fillId="25" xfId="0" applyNumberFormat="1" applyFont="1" applyFill="1" applyBorder="0"/>
    <x:xf numFmtId="0" fontId="37" fillId="25" borderId="55" xfId="0" applyNumberFormat="1" applyFont="1" applyFill="1" applyBorder="1"/>
    <x:xf numFmtId="0" fontId="37" fillId="25" borderId="56" xfId="0" applyNumberFormat="1" applyFont="1" applyFill="1" applyBorder="1"/>
    <x:xf numFmtId="0" fontId="37" fillId="25" borderId="47" xfId="0" applyNumberFormat="1" applyFont="1" applyFill="1" applyBorder="1"/>
    <x:xf numFmtId="0" fontId="37" fillId="25" borderId="57" xfId="0" applyNumberFormat="1" applyFont="1" applyFill="1" applyBorder="1"/>
    <x:xf numFmtId="0" fontId="37" fillId="25" borderId="54" xfId="0" applyNumberFormat="1" applyFont="1" applyFill="1" applyBorder="1" applyAlignment="1">
      <x:alignment wrapText="1"/>
    </x:xf>
    <x:xf numFmtId="0" fontId="37" fillId="25" xfId="0" applyNumberFormat="1" applyFont="1" applyFill="1" applyBorder="0" applyAlignment="1">
      <x:alignment wrapText="1"/>
    </x:xf>
    <x:xf numFmtId="0" fontId="37" fillId="25" borderId="55" xfId="0" applyNumberFormat="1" applyFont="1" applyFill="1" applyBorder="1" applyAlignment="1">
      <x:alignment wrapText="1"/>
    </x:xf>
    <x:xf numFmtId="0" fontId="37" fillId="25" borderId="56" xfId="0" applyNumberFormat="1" applyFont="1" applyFill="1" applyBorder="1" applyAlignment="1">
      <x:alignment wrapText="1"/>
    </x:xf>
    <x:xf numFmtId="0" fontId="37" fillId="25" borderId="47" xfId="0" applyNumberFormat="1" applyFont="1" applyFill="1" applyBorder="1" applyAlignment="1">
      <x:alignment wrapText="1"/>
    </x:xf>
    <x:xf numFmtId="0" fontId="37" fillId="25" borderId="57" xfId="0" applyNumberFormat="1" applyFont="1" applyFill="1" applyBorder="1" applyAlignment="1">
      <x:alignment wrapText="1"/>
    </x:xf>
    <x:xf numFmtId="0" fontId="37" fillId="25" borderId="54" xfId="0" applyNumberFormat="1" applyFont="1" applyFill="1" applyBorder="1" applyAlignment="1">
      <x:alignment horizontal="left" wrapText="1"/>
    </x:xf>
    <x:xf numFmtId="0" fontId="37" fillId="25" xfId="0" applyNumberFormat="1" applyFont="1" applyFill="1" applyBorder="0" applyAlignment="1">
      <x:alignment horizontal="left" wrapText="1"/>
    </x:xf>
    <x:xf numFmtId="0" fontId="37" fillId="25" borderId="55" xfId="0" applyNumberFormat="1" applyFont="1" applyFill="1" applyBorder="1" applyAlignment="1">
      <x:alignment horizontal="left" wrapText="1"/>
    </x:xf>
    <x:xf numFmtId="0" fontId="37" fillId="25" borderId="56" xfId="0" applyNumberFormat="1" applyFont="1" applyFill="1" applyBorder="1" applyAlignment="1">
      <x:alignment horizontal="left" wrapText="1"/>
    </x:xf>
    <x:xf numFmtId="0" fontId="37" fillId="25" borderId="47" xfId="0" applyNumberFormat="1" applyFont="1" applyFill="1" applyBorder="1" applyAlignment="1">
      <x:alignment horizontal="left" wrapText="1"/>
    </x:xf>
    <x:xf numFmtId="0" fontId="37" fillId="25" borderId="57" xfId="0" applyNumberFormat="1" applyFont="1" applyFill="1" applyBorder="1" applyAlignment="1">
      <x:alignment horizontal="left" wrapText="1"/>
    </x:xf>
    <x:xf numFmtId="0" fontId="37" fillId="25" borderId="54" xfId="0" applyNumberFormat="1" applyFont="1" applyFill="1" applyBorder="1" applyAlignment="1">
      <x:alignment horizontal="left" vertical="center" wrapText="1"/>
    </x:xf>
    <x:xf numFmtId="0" fontId="37" fillId="25" xfId="0" applyNumberFormat="1" applyFont="1" applyFill="1" applyBorder="0" applyAlignment="1">
      <x:alignment horizontal="left" vertical="center" wrapText="1"/>
    </x:xf>
    <x:xf numFmtId="0" fontId="37" fillId="25" borderId="55" xfId="0" applyNumberFormat="1" applyFont="1" applyFill="1" applyBorder="1" applyAlignment="1">
      <x:alignment horizontal="left" vertical="center" wrapText="1"/>
    </x:xf>
    <x:xf numFmtId="0" fontId="37" fillId="25" borderId="56" xfId="0" applyNumberFormat="1" applyFont="1" applyFill="1" applyBorder="1" applyAlignment="1">
      <x:alignment horizontal="left" vertical="center" wrapText="1"/>
    </x:xf>
    <x:xf numFmtId="0" fontId="37" fillId="25" borderId="47" xfId="0" applyNumberFormat="1" applyFont="1" applyFill="1" applyBorder="1" applyAlignment="1">
      <x:alignment horizontal="left" vertical="center" wrapText="1"/>
    </x:xf>
    <x:xf numFmtId="0" fontId="37" fillId="25" borderId="57" xfId="0" applyNumberFormat="1" applyFont="1" applyFill="1" applyBorder="1" applyAlignment="1">
      <x:alignment horizontal="left" vertical="center" wrapText="1"/>
    </x:xf>
    <x:xf numFmtId="0" fontId="21" fillId="26" borderId="0" xfId="0" applyNumberFormat="1" applyFont="1" applyFill="1" applyBorder="1"/>
    <x:xf numFmtId="0" fontId="21" fillId="26" borderId="54" xfId="0" applyNumberFormat="1" applyFont="1" applyFill="1" applyBorder="1"/>
    <x:xf numFmtId="0" fontId="21" fillId="26" xfId="0" applyNumberFormat="1" applyFont="1" applyFill="1" applyBorder="0"/>
    <x:xf numFmtId="0" fontId="21" fillId="26" borderId="55" xfId="0" applyNumberFormat="1" applyFont="1" applyFill="1" applyBorder="1"/>
    <x:xf numFmtId="0" fontId="21" fillId="26" borderId="56" xfId="0" applyNumberFormat="1" applyFont="1" applyFill="1" applyBorder="1"/>
    <x:xf numFmtId="0" fontId="21" fillId="26" borderId="47" xfId="0" applyNumberFormat="1" applyFont="1" applyFill="1" applyBorder="1"/>
    <x:xf numFmtId="0" fontId="21" fillId="26" borderId="57" xfId="0" applyNumberFormat="1" applyFont="1" applyFill="1" applyBorder="1"/>
    <x:xf numFmtId="0" fontId="21" fillId="32" borderId="51" xfId="0" applyNumberFormat="1" applyFont="1" applyFill="1" applyBorder="1"/>
    <x:xf numFmtId="0" fontId="21" fillId="32" borderId="52" xfId="0" applyNumberFormat="1" applyFont="1" applyFill="1" applyBorder="1"/>
    <x:xf numFmtId="0" fontId="21" fillId="32" borderId="53" xfId="0" applyNumberFormat="1" applyFont="1" applyFill="1" applyBorder="1"/>
    <x:xf numFmtId="0" fontId="36" fillId="32" borderId="51" xfId="0" applyNumberFormat="1" applyFont="1" applyFill="1" applyBorder="1"/>
    <x:xf numFmtId="0" fontId="36" fillId="32" borderId="52" xfId="0" applyNumberFormat="1" applyFont="1" applyFill="1" applyBorder="1"/>
    <x:xf numFmtId="0" fontId="36" fillId="32" borderId="53" xfId="0" applyNumberFormat="1" applyFont="1" applyFill="1" applyBorder="1"/>
    <x:xf numFmtId="0" fontId="36" fillId="32" borderId="51" xfId="0" applyNumberFormat="1" applyFont="1" applyFill="1" applyBorder="1" applyAlignment="1">
      <x:alignment horizontal="center"/>
    </x:xf>
    <x:xf numFmtId="0" fontId="36" fillId="32" borderId="52" xfId="0" applyNumberFormat="1" applyFont="1" applyFill="1" applyBorder="1" applyAlignment="1">
      <x:alignment horizontal="center"/>
    </x:xf>
    <x:xf numFmtId="0" fontId="36" fillId="32" borderId="53" xfId="0" applyNumberFormat="1" applyFont="1" applyFill="1" applyBorder="1" applyAlignment="1">
      <x:alignment horizontal="center"/>
    </x:xf>
    <x:xf numFmtId="0" fontId="36" fillId="32" borderId="51" xfId="0" applyNumberFormat="1" applyFont="1" applyFill="1" applyBorder="1" applyAlignment="1">
      <x:alignment horizontal="center" vertical="center"/>
    </x:xf>
    <x:xf numFmtId="0" fontId="36" fillId="32" borderId="52" xfId="0" applyNumberFormat="1" applyFont="1" applyFill="1" applyBorder="1" applyAlignment="1">
      <x:alignment horizontal="center" vertical="center"/>
    </x:xf>
    <x:xf numFmtId="0" fontId="36" fillId="32" borderId="53" xfId="0" applyNumberFormat="1" applyFont="1" applyFill="1" applyBorder="1" applyAlignment="1">
      <x:alignment horizontal="center" vertical="center"/>
    </x:xf>
    <x:xf numFmtId="0" fontId="63" fillId="26" borderId="54" xfId="0" applyNumberFormat="1" applyFont="1" applyFill="1" applyBorder="1"/>
    <x:xf numFmtId="0" fontId="63" fillId="26" xfId="0" applyNumberFormat="1" applyFont="1" applyFill="1" applyBorder="0"/>
    <x:xf numFmtId="0" fontId="63" fillId="26" borderId="55" xfId="0" applyNumberFormat="1" applyFont="1" applyFill="1" applyBorder="1"/>
    <x:xf numFmtId="0" fontId="63" fillId="26" borderId="54" xfId="0" applyNumberFormat="1" applyFont="1" applyFill="1" applyBorder="1" applyAlignment="1">
      <x:alignment horizontal="center"/>
    </x:xf>
    <x:xf numFmtId="0" fontId="63" fillId="26" xfId="0" applyNumberFormat="1" applyFont="1" applyFill="1" applyBorder="0" applyAlignment="1">
      <x:alignment horizontal="center"/>
    </x:xf>
    <x:xf numFmtId="0" fontId="63" fillId="26" borderId="55" xfId="0" applyNumberFormat="1" applyFont="1" applyFill="1" applyBorder="1" applyAlignment="1">
      <x:alignment horizontal="center"/>
    </x:xf>
    <x:xf numFmtId="0" fontId="37" fillId="26" borderId="54" xfId="0" applyNumberFormat="1" applyFont="1" applyFill="1" applyBorder="1"/>
    <x:xf numFmtId="0" fontId="37" fillId="26" xfId="0" applyNumberFormat="1" applyFont="1" applyFill="1" applyBorder="0"/>
    <x:xf numFmtId="0" fontId="37" fillId="26" borderId="55" xfId="0" applyNumberFormat="1" applyFont="1" applyFill="1" applyBorder="1"/>
    <x:xf numFmtId="0" fontId="37" fillId="26" borderId="56" xfId="0" applyNumberFormat="1" applyFont="1" applyFill="1" applyBorder="1"/>
    <x:xf numFmtId="0" fontId="37" fillId="26" borderId="47" xfId="0" applyNumberFormat="1" applyFont="1" applyFill="1" applyBorder="1"/>
    <x:xf numFmtId="0" fontId="37" fillId="26" borderId="57" xfId="0" applyNumberFormat="1" applyFont="1" applyFill="1" applyBorder="1"/>
    <x:xf numFmtId="0" fontId="37" fillId="26" borderId="54" xfId="0" applyNumberFormat="1" applyFont="1" applyFill="1" applyBorder="1" applyAlignment="1">
      <x:alignment wrapText="1"/>
    </x:xf>
    <x:xf numFmtId="0" fontId="37" fillId="26" xfId="0" applyNumberFormat="1" applyFont="1" applyFill="1" applyBorder="0" applyAlignment="1">
      <x:alignment wrapText="1"/>
    </x:xf>
    <x:xf numFmtId="0" fontId="37" fillId="26" borderId="55" xfId="0" applyNumberFormat="1" applyFont="1" applyFill="1" applyBorder="1" applyAlignment="1">
      <x:alignment wrapText="1"/>
    </x:xf>
    <x:xf numFmtId="0" fontId="37" fillId="26" borderId="56" xfId="0" applyNumberFormat="1" applyFont="1" applyFill="1" applyBorder="1" applyAlignment="1">
      <x:alignment wrapText="1"/>
    </x:xf>
    <x:xf numFmtId="0" fontId="37" fillId="26" borderId="47" xfId="0" applyNumberFormat="1" applyFont="1" applyFill="1" applyBorder="1" applyAlignment="1">
      <x:alignment wrapText="1"/>
    </x:xf>
    <x:xf numFmtId="0" fontId="37" fillId="26" borderId="57" xfId="0" applyNumberFormat="1" applyFont="1" applyFill="1" applyBorder="1" applyAlignment="1">
      <x:alignment wrapText="1"/>
    </x:xf>
    <x:xf numFmtId="0" fontId="37" fillId="26" borderId="54" xfId="0" applyNumberFormat="1" applyFont="1" applyFill="1" applyBorder="1" applyAlignment="1">
      <x:alignment horizontal="left" wrapText="1"/>
    </x:xf>
    <x:xf numFmtId="0" fontId="37" fillId="26" xfId="0" applyNumberFormat="1" applyFont="1" applyFill="1" applyBorder="0" applyAlignment="1">
      <x:alignment horizontal="left" wrapText="1"/>
    </x:xf>
    <x:xf numFmtId="0" fontId="37" fillId="26" borderId="55" xfId="0" applyNumberFormat="1" applyFont="1" applyFill="1" applyBorder="1" applyAlignment="1">
      <x:alignment horizontal="left" wrapText="1"/>
    </x:xf>
    <x:xf numFmtId="0" fontId="37" fillId="26" borderId="56" xfId="0" applyNumberFormat="1" applyFont="1" applyFill="1" applyBorder="1" applyAlignment="1">
      <x:alignment horizontal="left" wrapText="1"/>
    </x:xf>
    <x:xf numFmtId="0" fontId="37" fillId="26" borderId="47" xfId="0" applyNumberFormat="1" applyFont="1" applyFill="1" applyBorder="1" applyAlignment="1">
      <x:alignment horizontal="left" wrapText="1"/>
    </x:xf>
    <x:xf numFmtId="0" fontId="37" fillId="26" borderId="57" xfId="0" applyNumberFormat="1" applyFont="1" applyFill="1" applyBorder="1" applyAlignment="1">
      <x:alignment horizontal="left" wrapText="1"/>
    </x:xf>
    <x:xf numFmtId="0" fontId="37" fillId="26" borderId="54" xfId="0" applyNumberFormat="1" applyFont="1" applyFill="1" applyBorder="1" applyAlignment="1">
      <x:alignment horizontal="left" vertical="center" wrapText="1"/>
    </x:xf>
    <x:xf numFmtId="0" fontId="37" fillId="26" xfId="0" applyNumberFormat="1" applyFont="1" applyFill="1" applyBorder="0" applyAlignment="1">
      <x:alignment horizontal="left" vertical="center" wrapText="1"/>
    </x:xf>
    <x:xf numFmtId="0" fontId="37" fillId="26" borderId="55" xfId="0" applyNumberFormat="1" applyFont="1" applyFill="1" applyBorder="1" applyAlignment="1">
      <x:alignment horizontal="left" vertical="center" wrapText="1"/>
    </x:xf>
    <x:xf numFmtId="0" fontId="37" fillId="26" borderId="56" xfId="0" applyNumberFormat="1" applyFont="1" applyFill="1" applyBorder="1" applyAlignment="1">
      <x:alignment horizontal="left" vertical="center" wrapText="1"/>
    </x:xf>
    <x:xf numFmtId="0" fontId="37" fillId="26" borderId="47" xfId="0" applyNumberFormat="1" applyFont="1" applyFill="1" applyBorder="1" applyAlignment="1">
      <x:alignment horizontal="left" vertical="center" wrapText="1"/>
    </x:xf>
    <x:xf numFmtId="0" fontId="37" fillId="26" borderId="57" xfId="0" applyNumberFormat="1" applyFont="1" applyFill="1" applyBorder="1" applyAlignment="1">
      <x:alignment horizontal="left" vertical="center" wrapText="1"/>
    </x:xf>
    <x:xf numFmtId="0" fontId="56" fillId="20" borderId="0" xfId="0" applyNumberFormat="1" applyFont="1" applyFill="1" applyBorder="1"/>
    <x:xf numFmtId="0" fontId="56" fillId="20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/>
    <x:xf numFmtId="0" fontId="64" fillId="22" borderId="0" xfId="0" applyNumberFormat="1" applyFont="1" applyFill="1" applyBorder="1"/>
    <x:xf numFmtId="0" fontId="64" fillId="22" xfId="0" applyNumberFormat="1" applyFont="1" applyFill="1" applyBorder="0"/>
    <x:xf numFmtId="0" fontId="64" fillId="22" borderId="47" xfId="0" applyNumberFormat="1" applyFont="1" applyFill="1" applyBorder="1"/>
    <x:xf numFmtId="201" fontId="64" fillId="22" xfId="0" applyNumberFormat="1" applyFont="1" applyFill="1" applyBorder="0"/>
    <x:xf numFmtId="209" fontId="64" fillId="22" xfId="0" applyNumberFormat="1" applyFont="1" applyFill="1" applyBorder="0"/>
    <x:xf numFmtId="209" fontId="64" fillId="22" borderId="47" xfId="0" applyNumberFormat="1" applyFont="1" applyFill="1" applyBorder="1"/>
    <x:xf numFmtId="0" fontId="64" fillId="22" xfId="0" applyNumberFormat="1" applyFont="1" applyFill="1" applyBorder="0" applyAlignment="1">
      <x:alignment horizontal="center"/>
    </x:xf>
    <x:xf numFmtId="0" fontId="64" fillId="22" borderId="47" xfId="0" applyNumberFormat="1" applyFont="1" applyFill="1" applyBorder="1" applyAlignment="1">
      <x:alignment horizontal="center"/>
    </x:xf>
    <x:xf numFmtId="0" fontId="0" fillId="29" borderId="0" xfId="0" applyNumberFormat="1" applyFont="1" applyFill="1" applyBorder="1"/>
    <x:xf numFmtId="0" fontId="65" fillId="29" borderId="0" xfId="0" applyNumberFormat="1" applyFont="1" applyFill="1" applyBorder="1"/>
    <x:xf numFmtId="0" fontId="65" fillId="29" borderId="0" xfId="0" applyNumberFormat="1" applyFont="1" applyFill="1" applyBorder="1" applyAlignment="1">
      <x:alignment wrapText="1"/>
    </x:xf>
    <x:xf numFmtId="0" fontId="65" fillId="29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6">
    <x:dxf>
      <x:font>
        <x:b/>
        <x:sz val="9"/>
        <x:color rgb="FFD03B3B"/>
        <x:name val="Segoe UI"/>
      </x:font>
    </x:dxf>
    <x:dxf>
      <x:font>
        <x:b/>
        <x:sz val="9"/>
        <x:color rgb="FF0CA30C"/>
        <x:name val="Segoe UI"/>
      </x:font>
    </x:dxf>
    <x:dxf>
      <x:font>
        <x:b/>
        <x:sz val="9"/>
        <x:color rgb="FFFAB219"/>
        <x:name val="Consolas"/>
      </x:font>
    </x:dxf>
    <x:dxf>
      <x:font>
        <x:b/>
        <x:sz val="9"/>
        <x:color rgb="FFD03B3B"/>
        <x:name val="Segoe UI"/>
      </x:font>
    </x:dxf>
    <x:dxf>
      <x:font>
        <x:b/>
        <x:sz val="9"/>
        <x:color rgb="FFD03B3B"/>
        <x:name val="Segoe UI"/>
      </x:font>
    </x:dxf>
    <x:dxf>
      <x:font>
        <x:b/>
        <x:sz val="9"/>
        <x:color rgb="FF0CA30C"/>
        <x:name val="Segoe UI"/>
      </x:font>
    </x:dxf>
    <x:dxf>
      <x:font>
        <x:sz val="9"/>
        <x:color rgb="FFD03B3B"/>
        <x:name val="Consolas"/>
      </x:font>
    </x:dxf>
    <x:dxf>
      <x:font>
        <x:sz val="9"/>
        <x:color rgb="FF0CA30C"/>
        <x:name val="Consolas"/>
      </x:font>
    </x:dxf>
    <x:dxf>
      <x:font>
        <x:b/>
        <x:sz val="9"/>
        <x:color rgb="FFD03B3B"/>
        <x:name val="Segoe UI"/>
      </x:font>
    </x:dxf>
    <x:dxf>
      <x:font>
        <x:b/>
        <x:sz val="9"/>
        <x:color rgb="FF0CA30C"/>
        <x:name val="Segoe UI"/>
      </x:font>
    </x:dxf>
    <x:dxf>
      <x:font>
        <x:sz val="9"/>
        <x:color rgb="FFD03B3B"/>
        <x:name val="Consolas"/>
      </x:font>
    </x:dxf>
    <x:dxf>
      <x:font>
        <x:sz val="9"/>
        <x:color rgb="FF0CA30C"/>
        <x:name val="Consolas"/>
      </x:font>
    </x:dxf>
    <x:dxf>
      <x:font>
        <x:b/>
        <x:sz val="9"/>
        <x:color rgb="FFD03B3B"/>
        <x:name val="Segoe UI"/>
      </x:font>
    </x:dxf>
    <x:dxf>
      <x:font>
        <x:b/>
        <x:sz val="9"/>
        <x:color rgb="FF0CA30C"/>
        <x:name val="Segoe UI"/>
      </x:font>
    </x:dxf>
    <x:dxf>
      <x:font>
        <x:sz val="9"/>
        <x:color rgb="FFD03B3B"/>
        <x:name val="Consolas"/>
      </x:font>
    </x:dxf>
    <x:dxf>
      <x:font>
        <x:sz val="9"/>
        <x:color rgb="FF0CA30C"/>
        <x:name val="Consolas"/>
      </x:font>
    </x:dxf>
    <x:dxf>
      <x:font>
        <x:b/>
        <x:sz val="9"/>
        <x:color rgb="FFD03B3B"/>
        <x:name val="Segoe UI"/>
      </x:font>
    </x:dxf>
    <x:dxf>
      <x:font>
        <x:b/>
        <x:sz val="9"/>
        <x:color rgb="FF0CA30C"/>
        <x:name val="Segoe UI"/>
      </x:font>
    </x:dxf>
    <x:dxf>
      <x:font>
        <x:b/>
        <x:sz val="9"/>
        <x:color rgb="FFD03B3B"/>
        <x:name val="Segoe UI"/>
      </x:font>
    </x:dxf>
    <x:dxf>
      <x:font>
        <x:b/>
        <x:sz val="9"/>
        <x:color rgb="FF0CA30C"/>
        <x:name val="Segoe UI"/>
      </x:font>
    </x:dxf>
    <x:dxf>
      <x:font>
        <x:color rgb="FFC94747"/>
      </x:font>
    </x:dxf>
    <x:dxf>
      <x:font>
        <x:color rgb="FF1F8A5B"/>
      </x:font>
    </x:dxf>
    <x:dxf>
      <x:font>
        <x:color rgb="FFC94747"/>
      </x:font>
    </x:dxf>
    <x:dxf>
      <x:font>
        <x:color rgb="FF1F8A5B"/>
      </x:font>
    </x:dxf>
    <x:dxf>
      <x:font>
        <x:color rgb="FFC94747"/>
      </x:font>
    </x:dxf>
    <x:dxf>
      <x:font>
        <x:color rgb="FF1F8A5B"/>
      </x:font>
    </x:dxf>
    <x:dxf>
      <x:font>
        <x:b/>
        <x:color rgb="FFC94747"/>
      </x:font>
      <x:fill>
        <x:patternFill>
          <x:bgColor rgb="FFFDECEC"/>
        </x:patternFill>
      </x:fill>
    </x:dxf>
    <x:dxf>
      <x:font>
        <x:b/>
        <x:color rgb="FFF28C45"/>
      </x:font>
      <x:fill>
        <x:patternFill>
          <x:bgColor rgb="FFFFF1E8"/>
        </x:patternFill>
      </x:fill>
    </x:dxf>
    <x:dxf>
      <x:font>
        <x:b/>
        <x:color rgb="FFC94747"/>
      </x:font>
      <x:fill>
        <x:patternFill>
          <x:bgColor rgb="FFFDECEC"/>
        </x:patternFill>
      </x:fill>
    </x:dxf>
    <x:dxf>
      <x:font>
        <x:b/>
        <x:color rgb="FFF28C45"/>
      </x:font>
      <x:fill>
        <x:patternFill>
          <x:bgColor rgb="FFFFF1E8"/>
        </x:patternFill>
      </x:fill>
    </x:dxf>
    <x:dxf>
      <x:font>
        <x:b/>
        <x:color rgb="FF9A6A00"/>
      </x:font>
      <x:fill>
        <x:patternFill>
          <x:bgColor rgb="FFFFF8D9"/>
        </x:patternFill>
      </x:fill>
    </x:dxf>
    <x:dxf>
      <x:font>
        <x:b/>
        <x:color rgb="FF1F8A5B"/>
      </x:font>
      <x:fill>
        <x:patternFill>
          <x:bgColor rgb="FFE7F5EE"/>
        </x:patternFill>
      </x:fill>
    </x:dxf>
    <x:dxf>
      <x:font>
        <x:b/>
        <x:color rgb="FF1F8A5B"/>
      </x:font>
      <x:fill>
        <x:patternFill>
          <x:bgColor rgb="FFE7F5EE"/>
        </x:patternFill>
      </x:fill>
    </x:dxf>
    <x:dxf>
      <x:font>
        <x:b/>
        <x:color rgb="FFC94747"/>
      </x:font>
      <x:fill>
        <x:patternFill>
          <x:bgColor rgb="FFFDECEC"/>
        </x:patternFill>
      </x:fill>
    </x:dxf>
    <x:dxf>
      <x:font>
        <x:b/>
        <x:color rgb="FF1F8A5B"/>
      </x:font>
      <x:fill>
        <x:patternFill>
          <x:bgColor rgb="FFE7F5EE"/>
        </x:patternFill>
      </x:fill>
    </x:dxf>
    <x:dxf>
      <x:font>
        <x:b/>
        <x:color rgb="FFC94747"/>
      </x:font>
      <x:fill>
        <x:patternFill>
          <x:bgColor rgb="FFFDECEC"/>
        </x:patternFill>
      </x:fill>
    </x:dxf>
    <x:dxf>
      <x:font>
        <x:b/>
        <x:color rgb="FFC84343"/>
      </x:font>
    </x:dxf>
    <x:dxf>
      <x:font>
        <x:b/>
        <x:color rgb="FF23845A"/>
      </x:font>
    </x:dxf>
    <x:dxf>
      <x:font>
        <x:b/>
        <x:color rgb="FFC84343"/>
      </x:font>
    </x:dxf>
    <x:dxf>
      <x:font>
        <x:b/>
        <x:color rgb="FF23845A"/>
      </x:font>
    </x:dxf>
    <x:dxf>
      <x:font>
        <x:b/>
        <x:color rgb="FF23845A"/>
      </x:font>
      <x:fill>
        <x:patternFill patternType="solid">
          <x:bgColor rgb="FFE8F5EE"/>
        </x:patternFill>
      </x:fill>
    </x:dxf>
    <x:dxf>
      <x:font>
        <x:b/>
        <x:color rgb="FF2A78D6"/>
      </x:font>
      <x:fill>
        <x:patternFill patternType="solid">
          <x:bgColor rgb="FFEAF2FC"/>
        </x:patternFill>
      </x:fill>
    </x:dxf>
    <x:dxf>
      <x:font>
        <x:b/>
        <x:color rgb="FFA56B0B"/>
      </x:font>
      <x:fill>
        <x:patternFill patternType="solid">
          <x:bgColor rgb="FFFFF5DF"/>
        </x:patternFill>
      </x:fill>
    </x:dxf>
    <x:dxf>
      <x:font>
        <x:b/>
        <x:color rgb="FFC84343"/>
      </x:font>
      <x:fill>
        <x:patternFill patternType="solid">
          <x:bgColor rgb="FFFDEAEA"/>
        </x:patternFill>
      </x:fill>
    </x:dxf>
    <x:dxf>
      <x:font>
        <x:b/>
        <x:color rgb="FF23845A"/>
      </x:font>
      <x:fill>
        <x:patternFill patternType="solid">
          <x:bgColor rgb="FFE8F5EE"/>
        </x:patternFill>
      </x:fill>
    </x:dxf>
    <x:dxf>
      <x:font>
        <x:b/>
        <x:color rgb="FFC84343"/>
      </x:font>
      <x:fill>
        <x:patternFill patternType="solid">
          <x:bgColor rgb="FFFDEA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137fe111e54098" /><Relationship Type="http://schemas.openxmlformats.org/officeDocument/2006/relationships/theme" Target="/xl/theme/theme1.xml" Id="Rcf291aac8c9b494b" /><Relationship Type="http://schemas.openxmlformats.org/officeDocument/2006/relationships/sharedStrings" Target="/xl/sharedStrings.xml" Id="Raf2758007f7b4785" /><Relationship Type="http://schemas.openxmlformats.org/officeDocument/2006/relationships/worksheet" Target="/xl/worksheets/sheet1.xml" Id="Rb66990fa9a754a6e" /><Relationship Type="http://schemas.openxmlformats.org/officeDocument/2006/relationships/worksheet" Target="/xl/worksheets/sheet2.xml" Id="Rb6c846612ecd46f7" /><Relationship Type="http://schemas.openxmlformats.org/officeDocument/2006/relationships/worksheet" Target="/xl/worksheets/sheet3.xml" Id="R07305fa75d434c29" /><Relationship Type="http://schemas.openxmlformats.org/officeDocument/2006/relationships/worksheet" Target="/xl/worksheets/sheet4.xml" Id="R687a6ad74ae74e8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6b20cc4368241d9" /><Relationship Type="http://schemas.openxmlformats.org/officeDocument/2006/relationships/chart" Target="/xl/drawings/charts/chart2.xml" Id="R7fc80bf5f9ad41e0" /><Relationship Type="http://schemas.openxmlformats.org/officeDocument/2006/relationships/chart" Target="/xl/drawings/charts/chart3.xml" Id="Rbc92c178609d4ed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0c0e3fb4ff0a4c33" /><Relationship Type="http://schemas.openxmlformats.org/officeDocument/2006/relationships/chart" Target="/xl/drawings/charts/chart5.xml" Id="Rb2960162061c425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Trajectoire EBITDA 2025 → 2026 (M€)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EBITDA cumulé</c:v>
          </c:tx>
          <c:spPr>
            <a:solidFill xmlns:a="http://schemas.openxmlformats.org/drawingml/2006/main">
              <a:srgbClr val="2A78D6"/>
            </a:solidFill>
          </c:spPr>
          <c:cat>
            <c:strRef>
              <c:f>'Données'!$A$49:$A$52</c:f>
              <c:strCache>
                <c:ptCount val="0"/>
              </c:strCache>
            </c:strRef>
          </c:cat>
          <c:val>
            <c:numRef>
              <c:f>'Données'!$B$49:$B$52</c:f>
              <c:numCache>
                <c:formatCode>0.0,," M€"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4100000"/>
          <c:min val="320000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&quot; M€&quot;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Marge EBITDA par marque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Marge 2024</c:v>
          </c:tx>
          <c:spPr>
            <a:solidFill xmlns:a="http://schemas.openxmlformats.org/drawingml/2006/main">
              <a:srgbClr val="BED6F2"/>
            </a:solidFill>
          </c:spPr>
          <c:cat>
            <c:strRef>
              <c:f>'Données'!$G$57:$G$60</c:f>
              <c:strCache>
                <c:ptCount val="0"/>
              </c:strCache>
            </c:strRef>
          </c:cat>
          <c:val>
            <c:numRef>
              <c:f>'Données'!$H$57:$H$60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Marge 2025</c:v>
          </c:tx>
          <c:spPr>
            <a:solidFill xmlns:a="http://schemas.openxmlformats.org/drawingml/2006/main">
              <a:srgbClr val="78AAE3"/>
            </a:solidFill>
          </c:spPr>
          <c:cat>
            <c:strRef>
              <c:f>'Données'!$G$57:$G$60</c:f>
              <c:strCache>
                <c:ptCount val="0"/>
              </c:strCache>
            </c:strRef>
          </c:cat>
          <c:val>
            <c:numRef>
              <c:f>'Données'!$I$57:$I$60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Marge 2026</c:v>
          </c:tx>
          <c:spPr>
            <a:solidFill xmlns:a="http://schemas.openxmlformats.org/drawingml/2006/main">
              <a:srgbClr val="2A78D6"/>
            </a:solidFill>
          </c:spPr>
          <c:cat>
            <c:strRef>
              <c:f>'Données'!$G$57:$G$60</c:f>
              <c:strCache>
                <c:ptCount val="0"/>
              </c:strCache>
            </c:strRef>
          </c:cat>
          <c:val>
            <c:numRef>
              <c:f>'Données'!$J$57:$J$60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0.2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Acquisition : dépenses vs inscrits (base 100)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Dépenses (base 100)</c:v>
          </c:tx>
          <c:spPr>
            <a:solidFill xmlns:a="http://schemas.openxmlformats.org/drawingml/2006/main">
              <a:srgbClr val="2A78D6"/>
            </a:solidFill>
          </c:spPr>
          <c:marker>
            <c:symbol val="none"/>
          </c:marker>
          <c:cat>
            <c:strRef>
              <c:f>'Données'!$A$57:$A$59</c:f>
              <c:strCache>
                <c:ptCount val="0"/>
              </c:strCache>
            </c:strRef>
          </c:cat>
          <c:val>
            <c:numRef>
              <c:f>'Données'!$B$57:$B$59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Inscrits (base 100)</c:v>
          </c:tx>
          <c:spPr>
            <a:solidFill xmlns:a="http://schemas.openxmlformats.org/drawingml/2006/main">
              <a:srgbClr val="F28C45"/>
            </a:solidFill>
          </c:spPr>
          <c:marker>
            <c:symbol val="none"/>
          </c:marker>
          <c:cat>
            <c:strRef>
              <c:f>'Données'!$A$57:$A$59</c:f>
              <c:strCache>
                <c:ptCount val="0"/>
              </c:strCache>
            </c:strRef>
          </c:cat>
          <c:val>
            <c:numRef>
              <c:f>'Données'!$C$57:$C$59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25"/>
          <c:min val="9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scatterChart>
        <c:scatterStyle val="marker"/>
        <c:ser>
          <c:idx val="0"/>
          <c:order val="0"/>
          <c:tx>
            <c:v>MBW_PAR</c:v>
          </c:tx>
          <c:spPr>
            <a:solidFill xmlns:a="http://schemas.openxmlformats.org/drawingml/2006/main">
              <a:srgbClr val="2A78D6"/>
            </a:solidFill>
            <a:ln xmlns:a="http://schemas.openxmlformats.org/drawingml/2006/main" w="14288">
              <a:solidFill>
                <a:srgbClr val="2A78D6"/>
              </a:solidFill>
              <a:prstDash val="solid"/>
            </a:ln>
          </c:spPr>
          <c:xVal>
            <c:numLit>
              <c:formatCode>General</c:formatCode>
              <c:ptCount val="0"/>
            </c:numLit>
          </c:xVal>
          <c:yVal>
            <c:numRef>
              <c:f>'Matrice campus'!$F$36</c:f>
              <c:numCache>
                <c:formatCode>0.0%</c:formatCode>
                <c:ptCount val="0"/>
              </c:numCache>
            </c:numRef>
          </c:yVal>
        </c:ser>
        <c:ser>
          <c:idx val="1"/>
          <c:order val="1"/>
          <c:tx>
            <c:v>MBW_LYO</c:v>
          </c:tx>
          <c:spPr>
            <a:solidFill xmlns:a="http://schemas.openxmlformats.org/drawingml/2006/main">
              <a:srgbClr val="2A78D6"/>
            </a:solidFill>
            <a:ln xmlns:a="http://schemas.openxmlformats.org/drawingml/2006/main" w="14288">
              <a:solidFill>
                <a:srgbClr val="2A78D6"/>
              </a:solidFill>
              <a:prstDash val="solid"/>
            </a:ln>
          </c:spPr>
          <c:xVal>
            <c:numLit>
              <c:formatCode>General</c:formatCode>
              <c:ptCount val="0"/>
            </c:numLit>
          </c:xVal>
          <c:yVal>
            <c:numRef>
              <c:f>'Matrice campus'!$F$37</c:f>
              <c:numCache>
                <c:formatCode>0.0%</c:formatCode>
                <c:ptCount val="0"/>
              </c:numCache>
            </c:numRef>
          </c:yVal>
        </c:ser>
        <c:ser>
          <c:idx val="2"/>
          <c:order val="2"/>
          <c:tx>
            <c:v>MBW_BOR</c:v>
          </c:tx>
          <c:spPr>
            <a:solidFill xmlns:a="http://schemas.openxmlformats.org/drawingml/2006/main">
              <a:srgbClr val="2A78D6"/>
            </a:solidFill>
            <a:ln xmlns:a="http://schemas.openxmlformats.org/drawingml/2006/main" w="14288">
              <a:solidFill>
                <a:srgbClr val="2A78D6"/>
              </a:solidFill>
              <a:prstDash val="solid"/>
            </a:ln>
          </c:spPr>
          <c:xVal>
            <c:numLit>
              <c:formatCode>General</c:formatCode>
              <c:ptCount val="0"/>
            </c:numLit>
          </c:xVal>
          <c:yVal>
            <c:numRef>
              <c:f>'Matrice campus'!$F$38</c:f>
              <c:numCache>
                <c:formatCode>0.0%</c:formatCode>
                <c:ptCount val="0"/>
              </c:numCache>
            </c:numRef>
          </c:yVal>
        </c:ser>
        <c:ser>
          <c:idx val="3"/>
          <c:order val="3"/>
          <c:tx>
            <c:v>ISC_PAR</c:v>
          </c:tx>
          <c:spPr>
            <a:solidFill xmlns:a="http://schemas.openxmlformats.org/drawingml/2006/main">
              <a:srgbClr val="2B9FB3"/>
            </a:solidFill>
            <a:ln xmlns:a="http://schemas.openxmlformats.org/drawingml/2006/main" w="14288">
              <a:solidFill>
                <a:srgbClr val="2B9FB3"/>
              </a:solidFill>
              <a:prstDash val="solid"/>
            </a:ln>
          </c:spPr>
          <c:xVal>
            <c:numLit>
              <c:formatCode>General</c:formatCode>
              <c:ptCount val="0"/>
            </c:numLit>
          </c:xVal>
          <c:yVal>
            <c:numRef>
              <c:f>'Matrice campus'!$F$39</c:f>
              <c:numCache>
                <c:formatCode>0.0%</c:formatCode>
                <c:ptCount val="0"/>
              </c:numCache>
            </c:numRef>
          </c:yVal>
        </c:ser>
        <c:ser>
          <c:idx val="4"/>
          <c:order val="4"/>
          <c:tx>
            <c:v>ISC_LIL</c:v>
          </c:tx>
          <c:spPr>
            <a:solidFill xmlns:a="http://schemas.openxmlformats.org/drawingml/2006/main">
              <a:srgbClr val="2B9FB3"/>
            </a:solidFill>
            <a:ln xmlns:a="http://schemas.openxmlformats.org/drawingml/2006/main" w="14288">
              <a:solidFill>
                <a:srgbClr val="2B9FB3"/>
              </a:solidFill>
              <a:prstDash val="solid"/>
            </a:ln>
          </c:spPr>
          <c:xVal>
            <c:numLit>
              <c:formatCode>General</c:formatCode>
              <c:ptCount val="0"/>
            </c:numLit>
          </c:xVal>
          <c:yVal>
            <c:numRef>
              <c:f>'Matrice campus'!$F$40</c:f>
              <c:numCache>
                <c:formatCode>0.0%</c:formatCode>
                <c:ptCount val="0"/>
              </c:numCache>
            </c:numRef>
          </c:yVal>
        </c:ser>
        <c:ser>
          <c:idx val="5"/>
          <c:order val="5"/>
          <c:tx>
            <c:v>PIG_BOR</c:v>
          </c:tx>
          <c:spPr>
            <a:solidFill xmlns:a="http://schemas.openxmlformats.org/drawingml/2006/main">
              <a:srgbClr val="17917C"/>
            </a:solidFill>
            <a:ln xmlns:a="http://schemas.openxmlformats.org/drawingml/2006/main" w="14288">
              <a:solidFill>
                <a:srgbClr val="17917C"/>
              </a:solidFill>
              <a:prstDash val="solid"/>
            </a:ln>
          </c:spPr>
          <c:xVal>
            <c:numLit>
              <c:formatCode>General</c:formatCode>
              <c:ptCount val="0"/>
            </c:numLit>
          </c:xVal>
          <c:yVal>
            <c:numRef>
              <c:f>'Matrice campus'!$F$41</c:f>
              <c:numCache>
                <c:formatCode>0.0%</c:formatCode>
                <c:ptCount val="0"/>
              </c:numCache>
            </c:numRef>
          </c:yVal>
        </c:ser>
        <c:ser>
          <c:idx val="6"/>
          <c:order val="6"/>
          <c:tx>
            <c:v>PIG_LYO</c:v>
          </c:tx>
          <c:spPr>
            <a:solidFill xmlns:a="http://schemas.openxmlformats.org/drawingml/2006/main">
              <a:srgbClr val="17917C"/>
            </a:solidFill>
            <a:ln xmlns:a="http://schemas.openxmlformats.org/drawingml/2006/main" w="14288">
              <a:solidFill>
                <a:srgbClr val="17917C"/>
              </a:solidFill>
              <a:prstDash val="solid"/>
            </a:ln>
          </c:spPr>
          <c:xVal>
            <c:numLit>
              <c:formatCode>General</c:formatCode>
              <c:ptCount val="0"/>
            </c:numLit>
          </c:xVal>
          <c:yVal>
            <c:numRef>
              <c:f>'Matrice campus'!$F$42</c:f>
              <c:numCache>
                <c:formatCode>0.0%</c:formatCode>
                <c:ptCount val="0"/>
              </c:numCache>
            </c:numRef>
          </c:yVal>
        </c:ser>
        <c:ser>
          <c:idx val="7"/>
          <c:order val="7"/>
          <c:tx>
            <c:v>TUN_PAR</c:v>
          </c:tx>
          <c:spPr>
            <a:solidFill xmlns:a="http://schemas.openxmlformats.org/drawingml/2006/main">
              <a:srgbClr val="EC7D3C"/>
            </a:solidFill>
            <a:ln xmlns:a="http://schemas.openxmlformats.org/drawingml/2006/main" w="14288">
              <a:solidFill>
                <a:srgbClr val="EC7D3C"/>
              </a:solidFill>
              <a:prstDash val="solid"/>
            </a:ln>
          </c:spPr>
          <c:xVal>
            <c:numLit>
              <c:formatCode>General</c:formatCode>
              <c:ptCount val="0"/>
            </c:numLit>
          </c:xVal>
          <c:yVal>
            <c:numRef>
              <c:f>'Matrice campus'!$F$43</c:f>
              <c:numCache>
                <c:formatCode>0.0%</c:formatCode>
                <c:ptCount val="0"/>
              </c:numCache>
            </c:numRef>
          </c:yVal>
        </c:ser>
        <c:ser>
          <c:idx val="8"/>
          <c:order val="8"/>
          <c:tx>
            <c:v>TUN_LYO</c:v>
          </c:tx>
          <c:spPr>
            <a:solidFill xmlns:a="http://schemas.openxmlformats.org/drawingml/2006/main">
              <a:srgbClr val="EC7D3C"/>
            </a:solidFill>
            <a:ln xmlns:a="http://schemas.openxmlformats.org/drawingml/2006/main" w="14288">
              <a:solidFill>
                <a:srgbClr val="EC7D3C"/>
              </a:solidFill>
              <a:prstDash val="solid"/>
            </a:ln>
          </c:spPr>
          <c:xVal>
            <c:numLit>
              <c:formatCode>General</c:formatCode>
              <c:ptCount val="0"/>
            </c:numLit>
          </c:xVal>
          <c:yVal>
            <c:numRef>
              <c:f>'Matrice campus'!$F$44</c:f>
              <c:numCache>
                <c:formatCode>0.0%</c:formatCode>
                <c:ptCount val="0"/>
              </c:numCache>
            </c:numRef>
          </c:yVal>
        </c:ser>
        <c:ser>
          <c:idx val="9"/>
          <c:order val="9"/>
          <c:tx>
            <c:v>GROUPE</c:v>
          </c:tx>
          <c:spPr>
            <a:solidFill xmlns:a="http://schemas.openxmlformats.org/drawingml/2006/main">
              <a:srgbClr val="141E31"/>
            </a:solidFill>
            <a:ln xmlns:a="http://schemas.openxmlformats.org/drawingml/2006/main" w="23813">
              <a:solidFill>
                <a:srgbClr val="141E31"/>
              </a:solidFill>
              <a:prstDash val="solid"/>
            </a:ln>
          </c:spPr>
          <c:xVal>
            <c:numLit>
              <c:formatCode>General</c:formatCode>
              <c:ptCount val="0"/>
            </c:numLit>
          </c:xVal>
          <c:yVal>
            <c:numRef>
              <c:f>'Cockpit'!$H$39</c:f>
              <c:numCache>
                <c:formatCode>0.0%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ax val="0.25"/>
          <c:min val="-0.0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Marge EBITDA</a:t>
                </a:r>
              </a:p>
            </c:rich>
          </c:tx>
          <c:overlay val="0"/>
        </c:title>
        <c:numFmt formatCode="0%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</c:valAx>
      <c:valAx>
        <c:axId val="48650112"/>
        <c:scaling>
          <c:orientation val="minMax"/>
          <c:max val="1"/>
          <c:min val="0.6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Taux de remplissage</a:t>
                </a:r>
              </a:p>
            </c:rich>
          </c:tx>
          <c:overlay val="0"/>
        </c:title>
        <c:numFmt formatCode="0%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Places libres</c:v>
          </c:tx>
          <c:spPr>
            <a:solidFill xmlns:a="http://schemas.openxmlformats.org/drawingml/2006/main">
              <a:srgbClr val="EC7D3C"/>
            </a:solidFill>
          </c:spPr>
          <c:cat>
            <c:strRef>
              <c:f>'Matrice campus'!$B$36:$B$44</c:f>
              <c:strCache>
                <c:ptCount val="0"/>
              </c:strCache>
            </c:strRef>
          </c:cat>
          <c:val>
            <c:numRef>
              <c:f>'Matrice campus'!$H$36:$H$44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  <c:max val="36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11</xdr:row>
      <xdr:rowOff>0</xdr:rowOff>
    </xdr:from>
    <xdr:to>
      <xdr:col>5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b20cc4368241d9"/>
        </a:graphicData>
      </a:graphic>
    </xdr:graphicFrame>
    <xdr:clientData/>
  </xdr:twoCellAnchor>
  <xdr:twoCellAnchor>
    <xdr:from>
      <xdr:col>5</xdr:col>
      <xdr:colOff>0</xdr:colOff>
      <xdr:row>11</xdr:row>
      <xdr:rowOff>0</xdr:rowOff>
    </xdr:from>
    <xdr:to>
      <xdr:col>9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c80bf5f9ad41e0"/>
        </a:graphicData>
      </a:graphic>
    </xdr:graphicFrame>
    <xdr:clientData/>
  </xdr:twoCellAnchor>
  <xdr:twoCellAnchor>
    <xdr:from>
      <xdr:col>9</xdr:col>
      <xdr:colOff>0</xdr:colOff>
      <xdr:row>11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92c178609d4ed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</xdr:col>
      <xdr:colOff>0</xdr:colOff>
      <xdr:row>11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0e3fb4ff0a4c33"/>
        </a:graphicData>
      </a:graphic>
    </xdr:graphicFrame>
    <xdr:clientData/>
  </xdr:twoCellAnchor>
  <xdr:twoCellAnchor>
    <xdr:from>
      <xdr:col>10</xdr:col>
      <xdr:colOff>0</xdr:colOff>
      <xdr:row>11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960162061c425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b8b4f7673174e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139ffaf3b9bb49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9.06640625" defaultRowHeight="14.25"/>
  <x:cols>
    <x:col min="1" max="1" width="30" hidden="0" customWidth="1"/>
    <x:col min="2" max="2" width="17" hidden="0" customWidth="1"/>
    <x:col min="3" max="8" width="14" customWidth="1"/>
    <x:col min="9" max="9" width="14" hidden="0" customWidth="1"/>
    <x:col min="10" max="10" width="14" hidden="0" customWidth="1"/>
    <x:col min="11" max="11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12" max="12" width="15" hidden="0" customWidth="1"/>
    <x:col min="13" max="13" width="15" hidden="0" customWidth="1"/>
  </x:cols>
  <x:sheetData>
    <x:row r="1" ht="30" customHeight="1">
      <x:c r="A1" s="100" t="str">
        <x:v>SOCLE DE DONNÉES — cockpit CFO EDUSERVICES</x:v>
      </x:c>
      <x:c r="B1" s="100"/>
      <x:c r="C1" s="100"/>
      <x:c r="D1" s="100"/>
      <x:c r="E1" s="100"/>
      <x:c r="F1" s="100"/>
      <x:c r="G1" s="100"/>
      <x:c r="H1" s="100"/>
      <x:c r="I1" s="100"/>
      <x:c r="J1" s="100"/>
      <x:c r="K1" s="100"/>
      <x:c r="L1" s="100"/>
      <x:c r="M1" s="100"/>
    </x:row>
    <x:row r="2">
      <x:c r="A2" s="83"/>
      <x:c r="B2" s="83"/>
      <x:c r="C2" s="83"/>
      <x:c r="D2" s="83"/>
      <x:c r="E2" s="83"/>
      <x:c r="F2" s="83"/>
      <x:c r="G2" s="83"/>
      <x:c r="H2" s="83"/>
      <x:c r="I2" s="83"/>
      <x:c r="J2" s="83"/>
      <x:c r="K2" s="83"/>
      <x:c r="L2" s="83"/>
      <x:c r="M2" s="83"/>
    </x:row>
    <x:row r="3" ht="15">
      <x:c r="A3" s="84" t="s">
        <x:v>0</x:v>
      </x:c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83"/>
      <x:c r="M3" s="83"/>
    </x:row>
    <x:row r="4">
      <x:c r="A4" s="106" t="s">
        <x:v>1</x:v>
      </x:c>
      <x:c r="B4" s="106" t="s">
        <x:v>2</x:v>
      </x:c>
      <x:c r="C4" s="83"/>
      <x:c r="D4" s="83"/>
      <x:c r="E4" s="83"/>
      <x:c r="F4" s="83"/>
      <x:c r="G4" s="83"/>
      <x:c r="H4" s="83"/>
      <x:c r="I4" s="83"/>
      <x:c r="J4" s="83"/>
      <x:c r="K4" s="83"/>
      <x:c r="L4" s="83"/>
      <x:c r="M4" s="83"/>
    </x:row>
    <x:row r="5" ht="14.649999618530273">
      <x:c r="A5" s="86" t="s">
        <x:v>3</x:v>
      </x:c>
      <x:c r="B5" s="87" t="s">
        <x:v>4</x:v>
      </x:c>
      <x:c r="C5" s="83"/>
      <x:c r="D5" s="83"/>
      <x:c r="E5" s="83"/>
      <x:c r="F5" s="83"/>
      <x:c r="G5" s="83"/>
      <x:c r="H5" s="83"/>
      <x:c r="I5" s="83"/>
      <x:c r="J5" s="83"/>
      <x:c r="K5" s="83"/>
      <x:c r="L5" s="83"/>
      <x:c r="M5" s="83"/>
    </x:row>
    <x:row r="6" ht="14.649999618530273">
      <x:c r="A6" s="86" t="s">
        <x:v>5</x:v>
      </x:c>
      <x:c r="B6" s="87" t="s">
        <x:v>6</x:v>
      </x:c>
      <x:c r="C6" s="83"/>
      <x:c r="D6" s="83"/>
      <x:c r="E6" s="83"/>
      <x:c r="F6" s="83"/>
      <x:c r="G6" s="83"/>
      <x:c r="H6" s="83"/>
      <x:c r="I6" s="83"/>
      <x:c r="J6" s="83"/>
      <x:c r="K6" s="83"/>
      <x:c r="L6" s="83"/>
      <x:c r="M6" s="83"/>
    </x:row>
    <x:row r="7" ht="14.649999618530273">
      <x:c r="A7" s="86" t="s">
        <x:v>7</x:v>
      </x:c>
      <x:c r="B7" s="87">
        <x:v>2026</x:v>
      </x:c>
      <x:c r="C7" s="83"/>
      <x:c r="D7" s="83"/>
      <x:c r="E7" s="83"/>
      <x:c r="F7" s="83"/>
      <x:c r="G7" s="83"/>
      <x:c r="H7" s="83"/>
      <x:c r="I7" s="83"/>
      <x:c r="J7" s="83"/>
      <x:c r="K7" s="83"/>
      <x:c r="L7" s="83"/>
      <x:c r="M7" s="83"/>
    </x:row>
    <x:row r="8" ht="14.649999618530273">
      <x:c r="A8" s="86" t="s">
        <x:v>8</x:v>
      </x:c>
      <x:c r="B8" s="87" t="s">
        <x:v>9</x:v>
      </x:c>
      <x:c r="C8" s="83"/>
      <x:c r="D8" s="83"/>
      <x:c r="E8" s="83"/>
      <x:c r="F8" s="83"/>
      <x:c r="G8" s="83"/>
      <x:c r="H8" s="83"/>
      <x:c r="I8" s="83"/>
      <x:c r="J8" s="83"/>
      <x:c r="K8" s="83"/>
      <x:c r="L8" s="83"/>
      <x:c r="M8" s="83"/>
    </x:row>
    <x:row r="9" ht="14.649999618530273">
      <x:c r="A9" s="86" t="s">
        <x:v>10</x:v>
      </x:c>
      <x:c r="B9" s="87" t="s">
        <x:v>11</x:v>
      </x:c>
      <x:c r="C9" s="83"/>
      <x:c r="D9" s="83"/>
      <x:c r="E9" s="83"/>
      <x:c r="F9" s="83"/>
      <x:c r="G9" s="83"/>
      <x:c r="H9" s="83"/>
      <x:c r="I9" s="83"/>
      <x:c r="J9" s="83"/>
      <x:c r="K9" s="83"/>
      <x:c r="L9" s="83"/>
      <x:c r="M9" s="83"/>
    </x:row>
    <x:row r="10" ht="14.649999618530273">
      <x:c r="A10" s="86" t="s">
        <x:v>12</x:v>
      </x:c>
      <x:c r="B10" s="87" t="s">
        <x:v>13</x:v>
      </x:c>
      <x:c r="C10" s="83"/>
      <x:c r="D10" s="83"/>
      <x:c r="E10" s="83"/>
      <x:c r="F10" s="83"/>
      <x:c r="G10" s="83"/>
      <x:c r="H10" s="83"/>
      <x:c r="I10" s="83"/>
      <x:c r="J10" s="83"/>
      <x:c r="K10" s="83"/>
      <x:c r="L10" s="83"/>
      <x:c r="M10" s="83"/>
    </x:row>
    <x:row r="11" ht="14.649999618530273">
      <x:c r="A11" s="86" t="s">
        <x:v>14</x:v>
      </x:c>
      <x:c r="B11" s="87" t="s">
        <x:v>11</x:v>
      </x:c>
      <x:c r="C11" s="83"/>
      <x:c r="D11" s="83"/>
      <x:c r="E11" s="83"/>
      <x:c r="F11" s="83"/>
      <x:c r="G11" s="83"/>
      <x:c r="H11" s="83"/>
      <x:c r="I11" s="83"/>
      <x:c r="J11" s="83"/>
      <x:c r="K11" s="83"/>
      <x:c r="L11" s="83"/>
      <x:c r="M11" s="83"/>
    </x:row>
    <x:row r="12">
      <x:c r="A12" s="83"/>
      <x:c r="B12" s="83"/>
      <x:c r="C12" s="83"/>
      <x:c r="D12" s="83"/>
      <x:c r="E12" s="83"/>
      <x:c r="F12" s="83"/>
      <x:c r="G12" s="83"/>
      <x:c r="H12" s="83"/>
      <x:c r="I12" s="83"/>
      <x:c r="J12" s="83"/>
      <x:c r="K12" s="83"/>
      <x:c r="L12" s="83"/>
      <x:c r="M12" s="83"/>
    </x:row>
    <x:row r="13" ht="23" customHeight="1">
      <x:c r="A13" s="104" t="str">
        <x:v>② SOCLE CAMPUS — saisie A:K · capacité calculée L:M  (grain campus × exercice)</x:v>
      </x:c>
      <x:c r="B13" s="104"/>
      <x:c r="C13" s="104"/>
      <x:c r="D13" s="104"/>
      <x:c r="E13" s="104"/>
      <x:c r="F13" s="104"/>
      <x:c r="G13" s="104"/>
      <x:c r="H13" s="104"/>
      <x:c r="I13" s="104"/>
      <x:c r="J13" s="104"/>
      <x:c r="K13" s="104"/>
      <x:c r="L13" s="104"/>
      <x:c r="M13" s="104"/>
    </x:row>
    <x:row r="14">
      <x:c r="A14" s="106" t="s">
        <x:v>15</x:v>
      </x:c>
      <x:c r="B14" s="106" t="s">
        <x:v>10</x:v>
      </x:c>
      <x:c r="C14" s="106" t="s">
        <x:v>16</x:v>
      </x:c>
      <x:c r="D14" s="106" t="s">
        <x:v>17</x:v>
      </x:c>
      <x:c r="E14" s="106" t="s">
        <x:v>18</x:v>
      </x:c>
      <x:c r="F14" s="106" t="s">
        <x:v>19</x:v>
      </x:c>
      <x:c r="G14" s="106" t="s">
        <x:v>20</x:v>
      </x:c>
      <x:c r="H14" s="106" t="s">
        <x:v>21</x:v>
      </x:c>
      <x:c r="I14" s="106" t="s">
        <x:v>22</x:v>
      </x:c>
      <x:c r="J14" s="106" t="s">
        <x:v>23</x:v>
      </x:c>
      <x:c r="K14" s="106" t="s">
        <x:v>24</x:v>
      </x:c>
      <x:c r="L14" s="110" t="str">
        <x:v>Capacité est. 26</x:v>
      </x:c>
      <x:c r="M14" s="110" t="str">
        <x:v>Places libres 26</x:v>
      </x:c>
    </x:row>
    <x:row r="15" ht="14.649999618530273">
      <x:c r="A15" s="88" t="s">
        <x:v>25</x:v>
      </x:c>
      <x:c r="B15" s="88" t="s">
        <x:v>26</x:v>
      </x:c>
      <x:c r="C15" s="120">
        <x:v>3640000</x:v>
      </x:c>
      <x:c r="D15" s="120">
        <x:v>3920664</x:v>
      </x:c>
      <x:c r="E15" s="120">
        <x:v>4250000</x:v>
      </x:c>
      <x:c r="F15" s="120">
        <x:v>596000</x:v>
      </x:c>
      <x:c r="G15" s="120">
        <x:v>678784</x:v>
      </x:c>
      <x:c r="H15" s="120">
        <x:v>812000</x:v>
      </x:c>
      <x:c r="I15" s="120">
        <x:v>224</x:v>
      </x:c>
      <x:c r="J15" s="122">
        <x:v>0.94</x:v>
      </x:c>
      <x:c r="K15" s="122">
        <x:v>0.81</x:v>
      </x:c>
      <x:c r="L15" s="123" t="n">
        <x:f>IFERROR(I15/J15,0)</x:f>
        <x:v>238.29787234042556</x:v>
      </x:c>
      <x:c r="M15" s="123" t="n">
        <x:f>L15-I15</x:f>
        <x:v>14.297872340425556</x:v>
      </x:c>
    </x:row>
    <x:row r="16" ht="14.649999618530273">
      <x:c r="A16" s="88" t="s">
        <x:v>27</x:v>
      </x:c>
      <x:c r="B16" s="88" t="s">
        <x:v>26</x:v>
      </x:c>
      <x:c r="C16" s="120">
        <x:v>2790000</x:v>
      </x:c>
      <x:c r="D16" s="120">
        <x:v>2974742</x:v>
      </x:c>
      <x:c r="E16" s="120">
        <x:v>3180000</x:v>
      </x:c>
      <x:c r="F16" s="120">
        <x:v>427000</x:v>
      </x:c>
      <x:c r="G16" s="120">
        <x:v>479129</x:v>
      </x:c>
      <x:c r="H16" s="120">
        <x:v>528000</x:v>
      </x:c>
      <x:c r="I16" s="120">
        <x:v>168</x:v>
      </x:c>
      <x:c r="J16" s="122">
        <x:v>0.86</x:v>
      </x:c>
      <x:c r="K16" s="122">
        <x:v>0.77</x:v>
      </x:c>
      <x:c r="L16" s="123" t="n">
        <x:f>IFERROR(I16/J16,0)</x:f>
        <x:v>195.34883720930233</x:v>
      </x:c>
      <x:c r="M16" s="123" t="n">
        <x:f>L16-I16</x:f>
        <x:v>27.34883720930233</x:v>
      </x:c>
    </x:row>
    <x:row r="17" ht="14.649999618530273">
      <x:c r="A17" s="88" t="s">
        <x:v>28</x:v>
      </x:c>
      <x:c r="B17" s="88" t="s">
        <x:v>26</x:v>
      </x:c>
      <x:c r="C17" s="120">
        <x:v>2040000</x:v>
      </x:c>
      <x:c r="D17" s="120">
        <x:v>2149621</x:v>
      </x:c>
      <x:c r="E17" s="120">
        <x:v>2270000</x:v>
      </x:c>
      <x:c r="F17" s="120">
        <x:v>298000</x:v>
      </x:c>
      <x:c r="G17" s="120">
        <x:v>325885</x:v>
      </x:c>
      <x:c r="H17" s="120">
        <x:v>350000</x:v>
      </x:c>
      <x:c r="I17" s="120">
        <x:v>120</x:v>
      </x:c>
      <x:c r="J17" s="122">
        <x:v>0.81</x:v>
      </x:c>
      <x:c r="K17" s="122">
        <x:v>0.74</x:v>
      </x:c>
      <x:c r="L17" s="123" t="n">
        <x:f>IFERROR(I17/J17,0)</x:f>
        <x:v>148.14814814814815</x:v>
      </x:c>
      <x:c r="M17" s="123" t="n">
        <x:f>L17-I17</x:f>
        <x:v>28.148148148148152</x:v>
      </x:c>
    </x:row>
    <x:row r="18" ht="14.649999618530273">
      <x:c r="A18" s="88" t="s">
        <x:v>29</x:v>
      </x:c>
      <x:c r="B18" s="88" t="s">
        <x:v>30</x:v>
      </x:c>
      <x:c r="C18" s="120">
        <x:v>3590000</x:v>
      </x:c>
      <x:c r="D18" s="120">
        <x:v>3783019</x:v>
      </x:c>
      <x:c r="E18" s="120">
        <x:v>4010000</x:v>
      </x:c>
      <x:c r="F18" s="120">
        <x:v>560000</x:v>
      </x:c>
      <x:c r="G18" s="120">
        <x:v>645000</x:v>
      </x:c>
      <x:c r="H18" s="120">
        <x:v>690000</x:v>
      </x:c>
      <x:c r="I18" s="120">
        <x:v>205</x:v>
      </x:c>
      <x:c r="J18" s="122">
        <x:v>0.88</x:v>
      </x:c>
      <x:c r="K18" s="122">
        <x:v>0.67</x:v>
      </x:c>
      <x:c r="L18" s="123" t="n">
        <x:f>IFERROR(I18/J18,0)</x:f>
        <x:v>232.95454545454547</x:v>
      </x:c>
      <x:c r="M18" s="123" t="n">
        <x:f>L18-I18</x:f>
        <x:v>27.954545454545467</x:v>
      </x:c>
    </x:row>
    <x:row r="19" ht="14.649999618530273">
      <x:c r="A19" s="88" t="s">
        <x:v>31</x:v>
      </x:c>
      <x:c r="B19" s="88" t="s">
        <x:v>30</x:v>
      </x:c>
      <x:c r="C19" s="120">
        <x:v>2420000</x:v>
      </x:c>
      <x:c r="D19" s="120">
        <x:v>2498727</x:v>
      </x:c>
      <x:c r="E19" s="120">
        <x:v>2591085</x:v>
      </x:c>
      <x:c r="F19" s="120">
        <x:v>342000</x:v>
      </x:c>
      <x:c r="G19" s="120">
        <x:v>363500</x:v>
      </x:c>
      <x:c r="H19" s="120">
        <x:v>391990</x:v>
      </x:c>
      <x:c r="I19" s="120">
        <x:v>136</x:v>
      </x:c>
      <x:c r="J19" s="122">
        <x:v>0.81</x:v>
      </x:c>
      <x:c r="K19" s="122">
        <x:v>0.62</x:v>
      </x:c>
      <x:c r="L19" s="123" t="n">
        <x:f>IFERROR(I19/J19,0)</x:f>
        <x:v>167.9012345679012</x:v>
      </x:c>
      <x:c r="M19" s="123" t="n">
        <x:f>L19-I19</x:f>
        <x:v>31.901234567901213</x:v>
      </x:c>
    </x:row>
    <x:row r="20" ht="14.649999618530273">
      <x:c r="A20" s="88" t="s">
        <x:v>32</x:v>
      </x:c>
      <x:c r="B20" s="88" t="s">
        <x:v>33</x:v>
      </x:c>
      <x:c r="C20" s="120">
        <x:v>2310000</x:v>
      </x:c>
      <x:c r="D20" s="120">
        <x:v>2462687</x:v>
      </x:c>
      <x:c r="E20" s="120">
        <x:v>2640000</x:v>
      </x:c>
      <x:c r="F20" s="120">
        <x:v>430000</x:v>
      </x:c>
      <x:c r="G20" s="120">
        <x:v>488000</x:v>
      </x:c>
      <x:c r="H20" s="120">
        <x:v>545000</x:v>
      </x:c>
      <x:c r="I20" s="120">
        <x:v>143</x:v>
      </x:c>
      <x:c r="J20" s="122">
        <x:v>0.85</x:v>
      </x:c>
      <x:c r="K20" s="122">
        <x:v>0.83</x:v>
      </x:c>
      <x:c r="L20" s="123" t="n">
        <x:f>IFERROR(I20/J20,0)</x:f>
        <x:v>168.23529411764707</x:v>
      </x:c>
      <x:c r="M20" s="123" t="n">
        <x:f>L20-I20</x:f>
        <x:v>25.235294117647072</x:v>
      </x:c>
    </x:row>
    <x:row r="21" ht="14.649999618530273">
      <x:c r="A21" s="88" t="s">
        <x:v>34</x:v>
      </x:c>
      <x:c r="B21" s="88" t="s">
        <x:v>33</x:v>
      </x:c>
      <x:c r="C21" s="120">
        <x:v>2050000</x:v>
      </x:c>
      <x:c r="D21" s="120">
        <x:v>2173095</x:v>
      </x:c>
      <x:c r="E21" s="120">
        <x:v>2310000</x:v>
      </x:c>
      <x:c r="F21" s="120">
        <x:v>384652</x:v>
      </x:c>
      <x:c r="G21" s="120">
        <x:v>410500</x:v>
      </x:c>
      <x:c r="H21" s="120">
        <x:v>454900</x:v>
      </x:c>
      <x:c r="I21" s="120">
        <x:v>125</x:v>
      </x:c>
      <x:c r="J21" s="122">
        <x:v>0.81</x:v>
      </x:c>
      <x:c r="K21" s="122">
        <x:v>0.81</x:v>
      </x:c>
      <x:c r="L21" s="123" t="n">
        <x:f>IFERROR(I21/J21,0)</x:f>
        <x:v>154.320987654321</x:v>
      </x:c>
      <x:c r="M21" s="123" t="n">
        <x:f>L21-I21</x:f>
        <x:v>29.320987654320987</x:v>
      </x:c>
    </x:row>
    <x:row r="22" ht="14.649999618530273">
      <x:c r="A22" s="88" t="s">
        <x:v>35</x:v>
      </x:c>
      <x:c r="B22" s="88" t="s">
        <x:v>36</x:v>
      </x:c>
      <x:c r="C22" s="120">
        <x:v>1030000</x:v>
      </x:c>
      <x:c r="D22" s="120">
        <x:v>1069253</x:v>
      </x:c>
      <x:c r="E22" s="120">
        <x:v>1102400</x:v>
      </x:c>
      <x:c r="F22" s="120">
        <x:v>105000</x:v>
      </x:c>
      <x:c r="G22" s="120">
        <x:v>106800</x:v>
      </x:c>
      <x:c r="H22" s="120">
        <x:v>96300</x:v>
      </x:c>
      <x:c r="I22" s="120">
        <x:v>64</x:v>
      </x:c>
      <x:c r="J22" s="122">
        <x:v>0.79</x:v>
      </x:c>
      <x:c r="K22" s="122">
        <x:v>0.72</x:v>
      </x:c>
      <x:c r="L22" s="123" t="n">
        <x:f>IFERROR(I22/J22,0)</x:f>
        <x:v>81.01265822784809</x:v>
      </x:c>
      <x:c r="M22" s="123" t="n">
        <x:f>L22-I22</x:f>
        <x:v>17.012658227848092</x:v>
      </x:c>
    </x:row>
    <x:row r="23" ht="14.649999618530273">
      <x:c r="A23" s="88" t="s">
        <x:v>37</x:v>
      </x:c>
      <x:c r="B23" s="88" t="s">
        <x:v>36</x:v>
      </x:c>
      <x:c r="C23" s="120">
        <x:v>682827</x:v>
      </x:c>
      <x:c r="D23" s="120">
        <x:v>744012</x:v>
      </x:c>
      <x:c r="E23" s="120">
        <x:v>745500</x:v>
      </x:c>
      <x:c r="F23" s="120">
        <x:v>-6000</x:v>
      </x:c>
      <x:c r="G23" s="120">
        <x:v>-12780</x:v>
      </x:c>
      <x:c r="H23" s="120">
        <x:v>-22400</x:v>
      </x:c>
      <x:c r="I23" s="120">
        <x:v>44</x:v>
      </x:c>
      <x:c r="J23" s="122">
        <x:v>0.67</x:v>
      </x:c>
      <x:c r="K23" s="122">
        <x:v>0.66</x:v>
      </x:c>
      <x:c r="L23" s="123" t="n">
        <x:f>IFERROR(I23/J23,0)</x:f>
        <x:v>65.67164179104478</x:v>
      </x:c>
      <x:c r="M23" s="123" t="n">
        <x:f>L23-I23</x:f>
        <x:v>21.671641791044777</x:v>
      </x:c>
    </x:row>
    <x:row r="24" ht="15">
      <x:c r="A24" s="115" t="s">
        <x:v>38</x:v>
      </x:c>
      <x:c r="B24" s="116"/>
      <x:c r="C24" s="121" t="n">
        <x:f>SUM(C15:C23)</x:f>
        <x:v>20552827</x:v>
      </x:c>
      <x:c r="D24" s="121" t="n">
        <x:f>SUM(D15:D23)</x:f>
        <x:v>21775820</x:v>
      </x:c>
      <x:c r="E24" s="121" t="n">
        <x:f>SUM(E15:E23)</x:f>
        <x:v>23098985</x:v>
      </x:c>
      <x:c r="F24" s="121" t="n">
        <x:f>SUM(F15:F23)</x:f>
        <x:v>3136652</x:v>
      </x:c>
      <x:c r="G24" s="121" t="n">
        <x:f>SUM(G15:G23)</x:f>
        <x:v>3484818</x:v>
      </x:c>
      <x:c r="H24" s="121" t="n">
        <x:f>SUM(H15:H23)</x:f>
        <x:v>3845790</x:v>
      </x:c>
      <x:c r="I24" s="121" t="n">
        <x:f>SUM(I15:I23)</x:f>
        <x:v>1229</x:v>
      </x:c>
      <x:c r="J24" s="115"/>
      <x:c r="K24" s="115"/>
      <x:c r="L24" s="124" t="n">
        <x:f>SUM(L15:L23)</x:f>
        <x:v>1451.8912195111836</x:v>
      </x:c>
      <x:c r="M24" s="124" t="n">
        <x:f>SUM(M15:M23)</x:f>
        <x:v>222.89121951118366</x:v>
      </x:c>
    </x:row>
    <x:row r="25">
      <x:c r="A25" s="83"/>
      <x:c r="B25" s="83"/>
      <x:c r="C25" s="83"/>
      <x:c r="D25" s="83"/>
      <x:c r="E25" s="83"/>
      <x:c r="F25" s="83"/>
      <x:c r="G25" s="83"/>
      <x:c r="H25" s="83"/>
      <x:c r="I25" s="83"/>
      <x:c r="J25" s="83"/>
      <x:c r="K25" s="83"/>
      <x:c r="L25" s="83"/>
      <x:c r="M25" s="83"/>
    </x:row>
    <x:row r="26" ht="23" customHeight="1">
      <x:c r="A26" s="104" t="str">
        <x:v>③ ACQUISITION &amp; CAPACITÉ — groupe</x:v>
      </x:c>
      <x:c r="B26" s="104"/>
      <x:c r="C26" s="104"/>
      <x:c r="D26" s="104"/>
      <x:c r="E26" s="104"/>
      <x:c r="F26" s="104"/>
      <x:c r="G26" s="104"/>
      <x:c r="H26" s="104"/>
      <x:c r="I26" s="104"/>
      <x:c r="J26" s="104"/>
      <x:c r="K26" s="104"/>
      <x:c r="L26" s="104"/>
      <x:c r="M26" s="104"/>
    </x:row>
    <x:row r="27">
      <x:c r="A27" s="106" t="s">
        <x:v>39</x:v>
      </x:c>
      <x:c r="B27" s="106" t="s">
        <x:v>40</x:v>
      </x:c>
      <x:c r="C27" s="106" t="s">
        <x:v>41</x:v>
      </x:c>
      <x:c r="D27" s="106" t="s">
        <x:v>42</x:v>
      </x:c>
      <x:c r="E27" s="83"/>
      <x:c r="F27" s="83"/>
      <x:c r="G27" s="83"/>
      <x:c r="H27" s="83"/>
      <x:c r="I27" s="83"/>
      <x:c r="J27" s="83"/>
      <x:c r="K27" s="83"/>
      <x:c r="L27" s="83"/>
      <x:c r="M27" s="83"/>
    </x:row>
    <x:row r="28" ht="14.649999618530273">
      <x:c r="A28" s="86" t="s">
        <x:v>43</x:v>
      </x:c>
      <x:c r="B28" s="125">
        <x:v>358170</x:v>
      </x:c>
      <x:c r="C28" s="125">
        <x:v>394702</x:v>
      </x:c>
      <x:c r="D28" s="125">
        <x:v>434174</x:v>
      </x:c>
      <x:c r="E28" s="83"/>
      <x:c r="F28" s="83"/>
      <x:c r="G28" s="83"/>
      <x:c r="H28" s="83"/>
      <x:c r="I28" s="83"/>
      <x:c r="J28" s="83"/>
      <x:c r="K28" s="83"/>
      <x:c r="L28" s="83"/>
      <x:c r="M28" s="83"/>
    </x:row>
    <x:row r="29" ht="14.649999618530273">
      <x:c r="A29" s="86" t="s">
        <x:v>44</x:v>
      </x:c>
      <x:c r="B29" s="126">
        <x:v>1092</x:v>
      </x:c>
      <x:c r="C29" s="126">
        <x:v>1159</x:v>
      </x:c>
      <x:c r="D29" s="126" t="n">
        <x:f>SUM(I15:I23)</x:f>
        <x:v>1229</x:v>
      </x:c>
      <x:c r="E29" s="83"/>
      <x:c r="F29" s="83"/>
      <x:c r="G29" s="83"/>
      <x:c r="H29" s="83"/>
      <x:c r="I29" s="83"/>
      <x:c r="J29" s="83"/>
      <x:c r="K29" s="83"/>
      <x:c r="L29" s="83"/>
      <x:c r="M29" s="83"/>
    </x:row>
    <x:row r="30" ht="14.649999618530273">
      <x:c r="A30" s="86" t="s">
        <x:v>45</x:v>
      </x:c>
      <x:c r="B30" s="127">
        <x:v>0.87</x:v>
      </x:c>
      <x:c r="C30" s="127">
        <x:v>0.86</x:v>
      </x:c>
      <x:c r="D30" s="127" t="n">
        <x:f>D29/SUM(L15:L23)</x:f>
        <x:v>0.8464821492713306</x:v>
      </x:c>
      <x:c r="E30" s="83"/>
      <x:c r="F30" s="83"/>
      <x:c r="G30" s="83"/>
      <x:c r="H30" s="83"/>
      <x:c r="I30" s="83"/>
      <x:c r="J30" s="83"/>
      <x:c r="K30" s="83"/>
      <x:c r="L30" s="83"/>
      <x:c r="M30" s="83"/>
    </x:row>
    <x:row r="31">
      <x:c r="A31" s="101" t="str">
        <x:v>Coût d'acquisition / nouvel inscrit (€)</x:v>
      </x:c>
      <x:c r="B31" s="119" t="n">
        <x:f>B28/B29</x:f>
        <x:v>327.9945054945055</x:v>
      </x:c>
      <x:c r="C31" s="119" t="n">
        <x:f>C28/C29</x:f>
        <x:v>340.55392579810183</x:v>
      </x:c>
      <x:c r="D31" s="119" t="n">
        <x:f>D28/D29</x:f>
        <x:v>353.2742066720911</x:v>
      </x:c>
      <x:c r="E31" s="83"/>
      <x:c r="F31" s="83"/>
      <x:c r="G31" s="83"/>
      <x:c r="H31" s="83"/>
      <x:c r="I31" s="83"/>
      <x:c r="J31" s="83"/>
      <x:c r="K31" s="83"/>
      <x:c r="L31" s="83"/>
      <x:c r="M31" s="83"/>
    </x:row>
    <x:row r="32" ht="23" customHeight="1">
      <x:c r="A32" s="104" t="str">
        <x:v>④ BRIDGE EBITDA 2025 → 2026  (l'effet coûts est le résidu : le pont boucle)</x:v>
      </x:c>
      <x:c r="B32" s="104"/>
      <x:c r="C32" s="104"/>
      <x:c r="D32" s="104"/>
      <x:c r="E32" s="104"/>
      <x:c r="F32" s="104"/>
      <x:c r="G32" s="104"/>
      <x:c r="H32" s="104"/>
      <x:c r="I32" s="104"/>
      <x:c r="J32" s="104"/>
      <x:c r="K32" s="104"/>
      <x:c r="L32" s="104"/>
      <x:c r="M32" s="104"/>
    </x:row>
    <x:row r="33">
      <x:c r="A33" s="106" t="s">
        <x:v>46</x:v>
      </x:c>
      <x:c r="B33" s="106" t="s">
        <x:v>47</x:v>
      </x:c>
      <x:c r="C33" s="83"/>
      <x:c r="D33" s="83"/>
      <x:c r="E33" s="83"/>
      <x:c r="F33" s="83"/>
      <x:c r="G33" s="83"/>
      <x:c r="H33" s="83"/>
      <x:c r="I33" s="83"/>
      <x:c r="J33" s="83"/>
      <x:c r="K33" s="83"/>
      <x:c r="L33" s="83"/>
      <x:c r="M33" s="83"/>
    </x:row>
    <x:row r="34" ht="14.649999618530273">
      <x:c r="A34" s="86" t="s">
        <x:v>20</x:v>
      </x:c>
      <x:c r="B34" s="125" t="n">
        <x:f>SUM(G15:G23)</x:f>
        <x:v>3484818</x:v>
      </x:c>
      <x:c r="C34" s="83"/>
      <x:c r="D34" s="83"/>
      <x:c r="E34" s="83"/>
      <x:c r="F34" s="83"/>
      <x:c r="G34" s="83"/>
      <x:c r="H34" s="83"/>
      <x:c r="I34" s="83"/>
      <x:c r="J34" s="83"/>
      <x:c r="K34" s="83"/>
      <x:c r="L34" s="83"/>
      <x:c r="M34" s="83"/>
    </x:row>
    <x:row r="35" ht="14.649999618530273">
      <x:c r="A35" s="86" t="s">
        <x:v>48</x:v>
      </x:c>
      <x:c r="B35" s="125">
        <x:v>211706</x:v>
      </x:c>
      <x:c r="C35" s="83"/>
      <x:c r="D35" s="83"/>
      <x:c r="E35" s="83"/>
      <x:c r="F35" s="83"/>
      <x:c r="G35" s="83"/>
      <x:c r="H35" s="83"/>
      <x:c r="I35" s="83"/>
      <x:c r="J35" s="83"/>
      <x:c r="K35" s="83"/>
      <x:c r="L35" s="83"/>
      <x:c r="M35" s="83"/>
    </x:row>
    <x:row r="36" ht="14.649999618530273">
      <x:c r="A36" s="86" t="s">
        <x:v>49</x:v>
      </x:c>
      <x:c r="B36" s="125">
        <x:v>289000</x:v>
      </x:c>
      <x:c r="C36" s="83"/>
      <x:c r="D36" s="83"/>
      <x:c r="E36" s="83"/>
      <x:c r="F36" s="83"/>
      <x:c r="G36" s="83"/>
      <x:c r="H36" s="83"/>
      <x:c r="I36" s="83"/>
      <x:c r="J36" s="83"/>
      <x:c r="K36" s="83"/>
      <x:c r="L36" s="83"/>
      <x:c r="M36" s="83"/>
    </x:row>
    <x:row r="37" ht="14.649999618530273">
      <x:c r="A37" s="86" t="s">
        <x:v>50</x:v>
      </x:c>
      <x:c r="B37" s="125" t="n">
        <x:f>B38-B34-B35-B36</x:f>
        <x:v>-139734</x:v>
      </x:c>
      <x:c r="C37" s="83"/>
      <x:c r="D37" s="83"/>
      <x:c r="E37" s="83"/>
      <x:c r="F37" s="83"/>
      <x:c r="G37" s="83"/>
      <x:c r="H37" s="83"/>
      <x:c r="I37" s="83"/>
      <x:c r="J37" s="83"/>
      <x:c r="K37" s="83"/>
      <x:c r="L37" s="83"/>
      <x:c r="M37" s="83"/>
    </x:row>
    <x:row r="38" ht="14.649999618530273">
      <x:c r="A38" s="87" t="s">
        <x:v>21</x:v>
      </x:c>
      <x:c r="B38" s="128" t="n">
        <x:f>SUM(H15:H23)</x:f>
        <x:v>3845790</x:v>
      </x:c>
      <x:c r="C38" s="83"/>
      <x:c r="D38" s="83"/>
      <x:c r="E38" s="83"/>
      <x:c r="F38" s="83"/>
      <x:c r="G38" s="83"/>
      <x:c r="H38" s="83"/>
      <x:c r="I38" s="83"/>
      <x:c r="J38" s="83"/>
      <x:c r="K38" s="83"/>
      <x:c r="L38" s="83"/>
      <x:c r="M38" s="83"/>
    </x:row>
    <x:row r="39">
      <x:c r="A39" s="83"/>
      <x:c r="B39" s="83"/>
      <x:c r="C39" s="83"/>
      <x:c r="D39" s="83"/>
      <x:c r="E39" s="83"/>
      <x:c r="F39" s="83"/>
      <x:c r="G39" s="83"/>
      <x:c r="H39" s="83"/>
      <x:c r="I39" s="83"/>
      <x:c r="J39" s="83"/>
      <x:c r="K39" s="83"/>
      <x:c r="L39" s="83"/>
      <x:c r="M39" s="83"/>
    </x:row>
    <x:row r="40" ht="23" customHeight="1">
      <x:c r="A40" s="104" t="str">
        <x:v>⑤ AGRÉGATS PAR MARQUE — calculés depuis le socle campus</x:v>
      </x:c>
      <x:c r="B40" s="104"/>
      <x:c r="C40" s="104"/>
      <x:c r="D40" s="104"/>
      <x:c r="E40" s="104"/>
      <x:c r="F40" s="104"/>
      <x:c r="G40" s="104"/>
      <x:c r="H40" s="104"/>
      <x:c r="I40" s="104"/>
      <x:c r="J40" s="104"/>
      <x:c r="K40" s="104"/>
      <x:c r="L40" s="104"/>
      <x:c r="M40" s="104"/>
    </x:row>
    <x:row r="41">
      <x:c r="A41" s="106" t="s">
        <x:v>10</x:v>
      </x:c>
      <x:c r="B41" s="106" t="s">
        <x:v>16</x:v>
      </x:c>
      <x:c r="C41" s="106" t="s">
        <x:v>17</x:v>
      </x:c>
      <x:c r="D41" s="106" t="s">
        <x:v>18</x:v>
      </x:c>
      <x:c r="E41" s="106" t="s">
        <x:v>19</x:v>
      </x:c>
      <x:c r="F41" s="106" t="s">
        <x:v>20</x:v>
      </x:c>
      <x:c r="G41" s="106" t="s">
        <x:v>21</x:v>
      </x:c>
      <x:c r="H41" s="106" t="s">
        <x:v>51</x:v>
      </x:c>
      <x:c r="I41" s="106" t="s">
        <x:v>52</x:v>
      </x:c>
      <x:c r="J41" s="106" t="s">
        <x:v>53</x:v>
      </x:c>
      <x:c r="K41" s="83"/>
      <x:c r="L41" s="83"/>
      <x:c r="M41" s="83"/>
    </x:row>
    <x:row r="42" ht="14.649999618530273">
      <x:c r="A42" s="88" t="str">
        <x:v>MBway</x:v>
      </x:c>
      <x:c r="B42" s="126" t="n">
        <x:f>SUMIF($B$15:$B$23,$A42,$C$15:$C$23)</x:f>
        <x:v>8470000</x:v>
      </x:c>
      <x:c r="C42" s="126" t="n">
        <x:f>SUMIF($B$15:$B$23,$A42,$D$15:$D$23)</x:f>
        <x:v>9045027</x:v>
      </x:c>
      <x:c r="D42" s="126" t="n">
        <x:f>SUMIF($B$15:$B$23,$A42,$E$15:$E$23)</x:f>
        <x:v>9700000</x:v>
      </x:c>
      <x:c r="E42" s="126" t="n">
        <x:f>SUMIF($B$15:$B$23,$A42,$F$15:$F$23)</x:f>
        <x:v>1321000</x:v>
      </x:c>
      <x:c r="F42" s="126" t="n">
        <x:f>SUMIF($B$15:$B$23,$A42,$G$15:$G$23)</x:f>
        <x:v>1483798</x:v>
      </x:c>
      <x:c r="G42" s="126" t="n">
        <x:f>SUMIF($B$15:$B$23,$A42,$H$15:$H$23)</x:f>
        <x:v>1690000</x:v>
      </x:c>
      <x:c r="H42" s="93" t="n">
        <x:f>E42/B42</x:f>
        <x:v>0.15596221959858322</x:v>
      </x:c>
      <x:c r="I42" s="93" t="n">
        <x:f>F42/C42</x:f>
        <x:v>0.16404572368882922</x:v>
      </x:c>
      <x:c r="J42" s="93" t="n">
        <x:f>G42/D42</x:f>
        <x:v>0.17422680412371133</x:v>
      </x:c>
      <x:c r="K42" s="83"/>
      <x:c r="L42" s="83"/>
      <x:c r="M42" s="83"/>
    </x:row>
    <x:row r="43" ht="14.649999618530273">
      <x:c r="A43" s="88" t="str">
        <x:v>Iscom</x:v>
      </x:c>
      <x:c r="B43" s="126" t="n">
        <x:f>SUMIF($B$15:$B$23,$A43,$C$15:$C$23)</x:f>
        <x:v>6010000</x:v>
      </x:c>
      <x:c r="C43" s="126" t="n">
        <x:f>SUMIF($B$15:$B$23,$A43,$D$15:$D$23)</x:f>
        <x:v>6281746</x:v>
      </x:c>
      <x:c r="D43" s="126" t="n">
        <x:f>SUMIF($B$15:$B$23,$A43,$E$15:$E$23)</x:f>
        <x:v>6601085</x:v>
      </x:c>
      <x:c r="E43" s="126" t="n">
        <x:f>SUMIF($B$15:$B$23,$A43,$F$15:$F$23)</x:f>
        <x:v>902000</x:v>
      </x:c>
      <x:c r="F43" s="126" t="n">
        <x:f>SUMIF($B$15:$B$23,$A43,$G$15:$G$23)</x:f>
        <x:v>1008500</x:v>
      </x:c>
      <x:c r="G43" s="126" t="n">
        <x:f>SUMIF($B$15:$B$23,$A43,$H$15:$H$23)</x:f>
        <x:v>1081990</x:v>
      </x:c>
      <x:c r="H43" s="93" t="n">
        <x:f>E43/B43</x:f>
        <x:v>0.15008319467554077</x:v>
      </x:c>
      <x:c r="I43" s="93" t="n">
        <x:f>F43/C43</x:f>
        <x:v>0.16054453650306777</x:v>
      </x:c>
      <x:c r="J43" s="93" t="n">
        <x:f>G43/D43</x:f>
        <x:v>0.16391093282392213</x:v>
      </x:c>
      <x:c r="K43" s="83"/>
      <x:c r="L43" s="83"/>
      <x:c r="M43" s="83"/>
    </x:row>
    <x:row r="44" ht="14.649999618530273">
      <x:c r="A44" s="88" t="str">
        <x:v>Pigier</x:v>
      </x:c>
      <x:c r="B44" s="126" t="n">
        <x:f>SUMIF($B$15:$B$23,$A44,$C$15:$C$23)</x:f>
        <x:v>4360000</x:v>
      </x:c>
      <x:c r="C44" s="126" t="n">
        <x:f>SUMIF($B$15:$B$23,$A44,$D$15:$D$23)</x:f>
        <x:v>4635782</x:v>
      </x:c>
      <x:c r="D44" s="126" t="n">
        <x:f>SUMIF($B$15:$B$23,$A44,$E$15:$E$23)</x:f>
        <x:v>4950000</x:v>
      </x:c>
      <x:c r="E44" s="126" t="n">
        <x:f>SUMIF($B$15:$B$23,$A44,$F$15:$F$23)</x:f>
        <x:v>814652</x:v>
      </x:c>
      <x:c r="F44" s="126" t="n">
        <x:f>SUMIF($B$15:$B$23,$A44,$G$15:$G$23)</x:f>
        <x:v>898500</x:v>
      </x:c>
      <x:c r="G44" s="126" t="n">
        <x:f>SUMIF($B$15:$B$23,$A44,$H$15:$H$23)</x:f>
        <x:v>999900</x:v>
      </x:c>
      <x:c r="H44" s="93" t="n">
        <x:f>E44/B44</x:f>
        <x:v>0.18684678899082569</x:v>
      </x:c>
      <x:c r="I44" s="93" t="n">
        <x:f>F44/C44</x:f>
        <x:v>0.19381843235941637</x:v>
      </x:c>
      <x:c r="J44" s="93" t="n">
        <x:f>G44/D44</x:f>
        <x:v>0.202</x:v>
      </x:c>
      <x:c r="K44" s="83"/>
      <x:c r="L44" s="83"/>
      <x:c r="M44" s="83"/>
    </x:row>
    <x:row r="45" ht="14.649999618530273">
      <x:c r="A45" s="88" t="str">
        <x:v>Tunon</x:v>
      </x:c>
      <x:c r="B45" s="126" t="n">
        <x:f>SUMIF($B$15:$B$23,$A45,$C$15:$C$23)</x:f>
        <x:v>1712827</x:v>
      </x:c>
      <x:c r="C45" s="126" t="n">
        <x:f>SUMIF($B$15:$B$23,$A45,$D$15:$D$23)</x:f>
        <x:v>1813265</x:v>
      </x:c>
      <x:c r="D45" s="126" t="n">
        <x:f>SUMIF($B$15:$B$23,$A45,$E$15:$E$23)</x:f>
        <x:v>1847900</x:v>
      </x:c>
      <x:c r="E45" s="126" t="n">
        <x:f>SUMIF($B$15:$B$23,$A45,$F$15:$F$23)</x:f>
        <x:v>99000</x:v>
      </x:c>
      <x:c r="F45" s="126" t="n">
        <x:f>SUMIF($B$15:$B$23,$A45,$G$15:$G$23)</x:f>
        <x:v>94020</x:v>
      </x:c>
      <x:c r="G45" s="126" t="n">
        <x:f>SUMIF($B$15:$B$23,$A45,$H$15:$H$23)</x:f>
        <x:v>73900</x:v>
      </x:c>
      <x:c r="H45" s="93" t="n">
        <x:f>E45/B45</x:f>
        <x:v>0.057799182287528166</x:v>
      </x:c>
      <x:c r="I45" s="93" t="n">
        <x:f>F45/C45</x:f>
        <x:v>0.051851218658056045</x:v>
      </x:c>
      <x:c r="J45" s="93" t="n">
        <x:f>G45/D45</x:f>
        <x:v>0.03999134152280968</x:v>
      </x:c>
      <x:c r="K45" s="83"/>
      <x:c r="L45" s="83"/>
      <x:c r="M45" s="83"/>
    </x:row>
    <x:row r="46">
      <x:c r="A46" s="83"/>
      <x:c r="B46" s="83"/>
      <x:c r="C46" s="83"/>
      <x:c r="D46" s="83"/>
      <x:c r="E46" s="83"/>
      <x:c r="F46" s="83"/>
      <x:c r="G46" s="83"/>
      <x:c r="H46" s="83"/>
      <x:c r="I46" s="83"/>
      <x:c r="J46" s="83"/>
      <x:c r="K46" s="83"/>
      <x:c r="L46" s="83"/>
      <x:c r="M46" s="83"/>
    </x:row>
    <x:row r="47" ht="23" customHeight="1">
      <x:c r="A47" s="104" t="str">
        <x:v>⑥ ZONE TECHNIQUE — séries des graphiques (ne pas saisir)</x:v>
      </x:c>
      <x:c r="B47" s="104"/>
      <x:c r="C47" s="104"/>
      <x:c r="D47" s="104"/>
      <x:c r="E47" s="104"/>
      <x:c r="F47" s="104"/>
      <x:c r="G47" s="104"/>
      <x:c r="H47" s="104"/>
      <x:c r="I47" s="104"/>
      <x:c r="J47" s="104"/>
      <x:c r="K47" s="104"/>
      <x:c r="L47" s="104"/>
      <x:c r="M47" s="104"/>
    </x:row>
    <x:row r="48">
      <x:c r="A48" s="106" t="str">
        <x:v>Étape</x:v>
      </x:c>
      <x:c r="B48" s="106" t="str">
        <x:v>EBITDA cumulé</x:v>
      </x:c>
      <x:c r="C48" s="106"/>
      <x:c r="D48" s="106"/>
      <x:c r="E48" s="106"/>
      <x:c r="F48" s="83"/>
      <x:c r="G48" s="83"/>
      <x:c r="H48" s="83"/>
      <x:c r="I48" s="83"/>
      <x:c r="J48" s="83"/>
      <x:c r="K48" s="83"/>
      <x:c r="L48" s="83"/>
      <x:c r="M48" s="83"/>
    </x:row>
    <x:row r="49">
      <x:c r="A49" s="86" t="str">
        <x:v>EBITDA 2025</x:v>
      </x:c>
      <x:c r="B49" s="94" t="n">
        <x:f>B34</x:f>
        <x:v>3484818</x:v>
      </x:c>
      <x:c r="C49" s="94"/>
      <x:c r="D49" s="94"/>
      <x:c r="E49" s="94"/>
      <x:c r="F49" s="83"/>
      <x:c r="G49" s="83"/>
      <x:c r="H49" s="83"/>
      <x:c r="I49" s="83"/>
      <x:c r="J49" s="83"/>
      <x:c r="K49" s="83"/>
      <x:c r="L49" s="83"/>
      <x:c r="M49" s="83"/>
    </x:row>
    <x:row r="50">
      <x:c r="A50" s="86" t="str">
        <x:v>Après activité</x:v>
      </x:c>
      <x:c r="B50" s="94" t="n">
        <x:f>B34+B35</x:f>
        <x:v>3696524</x:v>
      </x:c>
      <x:c r="C50" s="94"/>
      <x:c r="D50" s="94"/>
      <x:c r="E50" s="94"/>
      <x:c r="F50" s="83"/>
      <x:c r="G50" s="83"/>
      <x:c r="H50" s="83"/>
      <x:c r="I50" s="83"/>
      <x:c r="J50" s="83"/>
      <x:c r="K50" s="83"/>
      <x:c r="L50" s="83"/>
      <x:c r="M50" s="83"/>
    </x:row>
    <x:row r="51">
      <x:c r="A51" s="86" t="str">
        <x:v>Après prix / mix</x:v>
      </x:c>
      <x:c r="B51" s="94" t="n">
        <x:f>B34+B35+B36</x:f>
        <x:v>3985524</x:v>
      </x:c>
      <x:c r="C51" s="94"/>
      <x:c r="D51" s="94"/>
      <x:c r="E51" s="94"/>
      <x:c r="F51" s="83"/>
      <x:c r="G51" s="83"/>
      <x:c r="H51" s="83"/>
      <x:c r="I51" s="83"/>
      <x:c r="J51" s="83"/>
      <x:c r="K51" s="83"/>
      <x:c r="L51" s="83"/>
      <x:c r="M51" s="83"/>
    </x:row>
    <x:row r="52">
      <x:c r="A52" s="86" t="str">
        <x:v>EBITDA 2026 (après coûts)</x:v>
      </x:c>
      <x:c r="B52" s="94" t="n">
        <x:f>B38</x:f>
        <x:v>3845790</x:v>
      </x:c>
      <x:c r="C52" s="94"/>
      <x:c r="D52" s="94"/>
      <x:c r="E52" s="94"/>
      <x:c r="F52" s="83"/>
      <x:c r="G52" s="83"/>
      <x:c r="H52" s="83"/>
      <x:c r="I52" s="83"/>
      <x:c r="J52" s="83"/>
      <x:c r="K52" s="83"/>
      <x:c r="L52" s="83"/>
      <x:c r="M52" s="83"/>
    </x:row>
    <x:row r="53">
      <x:c r="A53" s="86"/>
      <x:c r="B53" s="94"/>
      <x:c r="C53" s="94"/>
      <x:c r="D53" s="94"/>
      <x:c r="E53" s="94"/>
      <x:c r="F53" s="83"/>
      <x:c r="G53" s="83"/>
      <x:c r="H53" s="83"/>
      <x:c r="I53" s="83"/>
      <x:c r="J53" s="83"/>
      <x:c r="K53" s="83"/>
      <x:c r="L53" s="83"/>
      <x:c r="M53" s="83"/>
    </x:row>
    <x:row r="54">
      <x:c r="A54" s="83"/>
      <x:c r="B54" s="83"/>
      <x:c r="C54" s="83"/>
      <x:c r="D54" s="83"/>
      <x:c r="E54" s="83"/>
      <x:c r="F54" s="83"/>
      <x:c r="G54" s="83"/>
      <x:c r="H54" s="83"/>
      <x:c r="I54" s="83"/>
      <x:c r="J54" s="83"/>
      <x:c r="K54" s="83"/>
      <x:c r="L54" s="83"/>
      <x:c r="M54" s="83"/>
    </x:row>
    <x:row r="55">
      <x:c r="A55" s="83"/>
      <x:c r="B55" s="83"/>
      <x:c r="C55" s="83"/>
      <x:c r="D55" s="83"/>
      <x:c r="E55" s="83"/>
      <x:c r="F55" s="83"/>
      <x:c r="G55" s="83"/>
      <x:c r="H55" s="83"/>
      <x:c r="I55" s="83"/>
      <x:c r="J55" s="83"/>
      <x:c r="K55" s="83"/>
      <x:c r="L55" s="83"/>
      <x:c r="M55" s="83"/>
    </x:row>
    <x:row r="56">
      <x:c r="A56" s="106" t="str">
        <x:v>Exercice</x:v>
      </x:c>
      <x:c r="B56" s="106" t="str">
        <x:v>Dépenses (base 100)</x:v>
      </x:c>
      <x:c r="C56" s="106" t="str">
        <x:v>Inscrits (base 100)</x:v>
      </x:c>
      <x:c r="D56" s="83"/>
      <x:c r="E56" s="83"/>
      <x:c r="F56" s="83"/>
      <x:c r="G56" s="110" t="str">
        <x:v>Marque</x:v>
      </x:c>
      <x:c r="H56" s="110" t="str">
        <x:v>Marge 2024</x:v>
      </x:c>
      <x:c r="I56" s="110" t="str">
        <x:v>Marge 2025</x:v>
      </x:c>
      <x:c r="J56" s="110" t="str">
        <x:v>Marge 2026</x:v>
      </x:c>
      <x:c r="K56" s="83"/>
      <x:c r="L56" s="83"/>
      <x:c r="M56" s="83"/>
    </x:row>
    <x:row r="57">
      <x:c r="A57" s="95" t="n">
        <x:v>2024</x:v>
      </x:c>
      <x:c r="B57" s="96" t="n">
        <x:f>B28/$B$28*100</x:f>
        <x:v>100</x:v>
      </x:c>
      <x:c r="C57" s="96" t="n">
        <x:f>B29/$B$29*100</x:f>
        <x:v>100</x:v>
      </x:c>
      <x:c r="D57" s="83"/>
      <x:c r="E57" s="83"/>
      <x:c r="F57" s="83"/>
      <x:c r="G57" s="83" t="str">
        <x:f>A42</x:f>
        <x:v>MBway</x:v>
      </x:c>
      <x:c r="H57" s="129" t="n">
        <x:f>H42</x:f>
        <x:v>0.15596221959858322</x:v>
      </x:c>
      <x:c r="I57" s="129" t="n">
        <x:f>I42</x:f>
        <x:v>0.16404572368882922</x:v>
      </x:c>
      <x:c r="J57" s="129" t="n">
        <x:f>J42</x:f>
        <x:v>0.17422680412371133</x:v>
      </x:c>
      <x:c r="K57" s="83"/>
      <x:c r="L57" s="83"/>
      <x:c r="M57" s="83"/>
    </x:row>
    <x:row r="58">
      <x:c r="A58" s="95" t="n">
        <x:v>2025</x:v>
      </x:c>
      <x:c r="B58" s="96" t="n">
        <x:f>C28/$B$28*100</x:f>
        <x:v>110.19962587598069</x:v>
      </x:c>
      <x:c r="C58" s="96" t="n">
        <x:f>C29/$B$29*100</x:f>
        <x:v>106.13553113553114</x:v>
      </x:c>
      <x:c r="D58" s="83"/>
      <x:c r="E58" s="83"/>
      <x:c r="F58" s="83"/>
      <x:c r="G58" s="83" t="str">
        <x:f>A43</x:f>
        <x:v>Iscom</x:v>
      </x:c>
      <x:c r="H58" s="129" t="n">
        <x:f>H43</x:f>
        <x:v>0.15008319467554077</x:v>
      </x:c>
      <x:c r="I58" s="129" t="n">
        <x:f>I43</x:f>
        <x:v>0.16054453650306777</x:v>
      </x:c>
      <x:c r="J58" s="129" t="n">
        <x:f>J43</x:f>
        <x:v>0.16391093282392213</x:v>
      </x:c>
      <x:c r="K58" s="83"/>
      <x:c r="L58" s="83"/>
      <x:c r="M58" s="83"/>
    </x:row>
    <x:row r="59">
      <x:c r="A59" s="95" t="n">
        <x:v>2026</x:v>
      </x:c>
      <x:c r="B59" s="96" t="n">
        <x:f>D28/$B$28*100</x:f>
        <x:v>121.22009101823157</x:v>
      </x:c>
      <x:c r="C59" s="96" t="n">
        <x:f>D29/$B$29*100</x:f>
        <x:v>112.54578754578755</x:v>
      </x:c>
      <x:c r="D59" s="83"/>
      <x:c r="E59" s="83"/>
      <x:c r="F59" s="83"/>
      <x:c r="G59" s="83" t="str">
        <x:f>A44</x:f>
        <x:v>Pigier</x:v>
      </x:c>
      <x:c r="H59" s="129" t="n">
        <x:f>H44</x:f>
        <x:v>0.18684678899082569</x:v>
      </x:c>
      <x:c r="I59" s="129" t="n">
        <x:f>I44</x:f>
        <x:v>0.19381843235941637</x:v>
      </x:c>
      <x:c r="J59" s="129" t="n">
        <x:f>J44</x:f>
        <x:v>0.202</x:v>
      </x:c>
      <x:c r="K59" s="83"/>
      <x:c r="L59" s="83"/>
      <x:c r="M59" s="83"/>
    </x:row>
    <x:row r="60">
      <x:c r="A60" s="83"/>
      <x:c r="B60" s="83"/>
      <x:c r="C60" s="83"/>
      <x:c r="D60" s="83"/>
      <x:c r="E60" s="83"/>
      <x:c r="F60" s="83"/>
      <x:c r="G60" s="83" t="str">
        <x:f>A45</x:f>
        <x:v>Tunon</x:v>
      </x:c>
      <x:c r="H60" s="129" t="n">
        <x:f>H45</x:f>
        <x:v>0.057799182287528166</x:v>
      </x:c>
      <x:c r="I60" s="129" t="n">
        <x:f>I45</x:f>
        <x:v>0.051851218658056045</x:v>
      </x:c>
      <x:c r="J60" s="129" t="n">
        <x:f>J45</x:f>
        <x:v>0.03999134152280968</x:v>
      </x:c>
      <x:c r="K60" s="83"/>
      <x:c r="L60" s="83"/>
      <x:c r="M60" s="83"/>
    </x:row>
    <x:row r="61">
      <x:c r="A61" s="83"/>
      <x:c r="B61" s="83"/>
      <x:c r="C61" s="83"/>
      <x:c r="D61" s="83"/>
      <x:c r="E61" s="83"/>
      <x:c r="F61" s="83"/>
      <x:c r="G61" s="83"/>
      <x:c r="H61" s="83"/>
      <x:c r="I61" s="83"/>
      <x:c r="J61" s="83"/>
      <x:c r="K61" s="83"/>
      <x:c r="L61" s="83"/>
      <x:c r="M61" s="83"/>
    </x:row>
    <x:row r="62" ht="24" customHeight="1">
      <x:c r="A62" s="132" t="str">
        <x:v>Règles de lecture : les marges varient en POINTS ; la capacité est estimée par inscrits ÷ taux de remplissage.</x:v>
      </x:c>
      <x:c r="B62" s="133"/>
      <x:c r="C62" s="133"/>
      <x:c r="D62" s="133"/>
      <x:c r="E62" s="133"/>
      <x:c r="F62" s="133"/>
      <x:c r="G62" s="133"/>
      <x:c r="H62" s="133"/>
      <x:c r="I62" s="133"/>
      <x:c r="J62" s="133"/>
      <x:c r="K62" s="133"/>
      <x:c r="L62" s="133"/>
      <x:c r="M62" s="133"/>
    </x:row>
  </x:sheetData>
  <x:mergeCells>
    <x:mergeCell ref="A1:M1"/>
    <x:mergeCell ref="A13:M13"/>
    <x:mergeCell ref="A26:M26"/>
    <x:mergeCell ref="A32:M32"/>
    <x:mergeCell ref="A40:M40"/>
    <x:mergeCell ref="A47:M47"/>
    <x:mergeCell ref="A62:M6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9.06640625" defaultRowHeight="14.25"/>
  <x:cols>
    <x:col min="1" max="1" width="2.5" hidden="0" customWidth="1"/>
    <x:col min="2" max="2" width="18" hidden="0" customWidth="1"/>
    <x:col min="3" max="3" width="12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2" hidden="0" customWidth="1"/>
    <x:col min="9" max="9" width="12" hidden="0" customWidth="1"/>
    <x:col min="10" max="10" width="11.5" hidden="0" customWidth="1"/>
    <x:col min="11" max="13" width="12" customWidth="1"/>
    <x:col min="14" max="14" width="16" hidden="0" customWidth="1"/>
    <x:col min="11" max="11" width="11.5" hidden="0" customWidth="1"/>
    <x:col min="12" max="12" width="11.5" hidden="0" customWidth="1"/>
    <x:col min="13" max="13" width="11.5" hidden="0" customWidth="1"/>
    <x:col min="15" max="15" width="2.5" hidden="0" customWidth="1"/>
  </x:cols>
  <x:sheetData>
    <x:row r="1" ht="19" customHeight="1">
      <x:c r="A1" s="135"/>
      <x:c r="B1" s="293" t="str">
        <x:v>VUE EXÉCUTIVE</x:v>
      </x:c>
      <x:c r="C1" s="293"/>
      <x:c r="D1" s="293"/>
      <x:c r="E1" s="291" t="str">
        <x:v>→ MATRICE CAMPUS</x:v>
      </x:c>
      <x:c r="F1" s="291"/>
      <x:c r="G1" s="291"/>
      <x:c r="H1" s="291" t="str">
        <x:v>DONNÉES</x:v>
      </x:c>
      <x:c r="I1" s="291"/>
      <x:c r="J1" s="291"/>
      <x:c r="K1" s="291" t="str">
        <x:v>CONTRÔLES</x:v>
      </x:c>
      <x:c r="L1" s="291"/>
      <x:c r="M1" s="291"/>
      <x:c r="N1" s="135"/>
      <x:c r="O1" s="135"/>
    </x:row>
    <x:row r="2" ht="34" customHeight="1">
      <x:c r="A2" s="135"/>
      <x:c r="B2" s="138" t="str">
        <x:v>Cockpit CFO — vue exécutive EDUSERVICES</x:v>
      </x:c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5"/>
    </x:row>
    <x:row r="3" ht="16.049999237060547" customHeight="1">
      <x:c r="A3" s="135"/>
      <x:c r="B3" s="142" t="str">
        <x:v>Performance 2026 • création de valeur • capacité • arbitrages de cadrage 2027</x:v>
      </x:c>
      <x:c r="C3" s="142"/>
      <x:c r="D3" s="142"/>
      <x:c r="E3" s="142"/>
      <x:c r="F3" s="142"/>
      <x:c r="G3" s="142"/>
      <x:c r="H3" s="142"/>
      <x:c r="I3" s="142"/>
      <x:c r="J3" s="142"/>
      <x:c r="K3" s="142"/>
      <x:c r="L3" s="144" t="str">
        <x:v>RÉEL  •  CLÔTURE 2026</x:v>
      </x:c>
      <x:c r="M3" s="144"/>
      <x:c r="N3" s="144"/>
      <x:c r="O3" s="135"/>
    </x:row>
    <x:row r="4" ht="6" customHeight="1">
      <x:c r="A4" s="135"/>
      <x:c r="B4" s="135"/>
      <x:c r="C4" s="135"/>
      <x:c r="D4" s="135"/>
      <x:c r="E4" s="135"/>
      <x:c r="F4" s="135"/>
      <x:c r="G4" s="135"/>
      <x:c r="H4" s="135"/>
      <x:c r="I4" s="135"/>
      <x:c r="J4" s="135"/>
      <x:c r="K4" s="135"/>
      <x:c r="L4" s="135"/>
      <x:c r="M4" s="135"/>
      <x:c r="N4" s="135"/>
      <x:c r="O4" s="135"/>
    </x:row>
    <x:row r="5" ht="24" customHeight="1">
      <x:c r="A5" s="135"/>
      <x:c r="B5" s="152" t="str">
        <x:v>Scénario</x:v>
      </x:c>
      <x:c r="C5" s="153" t="str">
        <x:f>'Données'!B5</x:f>
        <x:v>REEL</x:v>
      </x:c>
      <x:c r="D5" s="154" t="str">
        <x:v>Version</x:v>
      </x:c>
      <x:c r="E5" s="153" t="str">
        <x:f>'Données'!B6</x:f>
        <x:v>V_FINAL</x:v>
      </x:c>
      <x:c r="F5" s="154" t="str">
        <x:v>Exercice</x:v>
      </x:c>
      <x:c r="G5" s="153" t="n">
        <x:f>'Données'!B7</x:f>
        <x:v>2026</x:v>
      </x:c>
      <x:c r="H5" s="154" t="str">
        <x:v>Période</x:v>
      </x:c>
      <x:c r="I5" s="153" t="str">
        <x:f>'Données'!B8</x:f>
        <x:v>12 — Cumul</x:v>
      </x:c>
      <x:c r="J5" s="154" t="str">
        <x:v>Marque</x:v>
      </x:c>
      <x:c r="K5" s="153" t="str">
        <x:f>'Données'!B9</x:f>
        <x:v>Toutes</x:v>
      </x:c>
      <x:c r="L5" s="154" t="str">
        <x:v>Campus</x:v>
      </x:c>
      <x:c r="M5" s="155" t="str">
        <x:f>'Données'!B10</x:f>
        <x:v>Tous</x:v>
      </x:c>
      <x:c r="N5" s="135"/>
      <x:c r="O5" s="135"/>
    </x:row>
    <x:row r="6" ht="6" customHeight="1">
      <x:c r="A6" s="135"/>
      <x:c r="B6" s="135"/>
      <x:c r="C6" s="135"/>
      <x:c r="D6" s="135"/>
      <x:c r="E6" s="135"/>
      <x:c r="F6" s="135"/>
      <x:c r="G6" s="135"/>
      <x:c r="H6" s="135"/>
      <x:c r="I6" s="135"/>
      <x:c r="J6" s="135"/>
      <x:c r="K6" s="135"/>
      <x:c r="L6" s="135"/>
      <x:c r="M6" s="135"/>
      <x:c r="N6" s="135"/>
      <x:c r="O6" s="135"/>
    </x:row>
    <x:row r="7" ht="15" customHeight="1">
      <x:c r="A7" s="135"/>
      <x:c r="B7" s="164" t="str">
        <x:v>CHIFFRE D'AFFAIRES</x:v>
      </x:c>
      <x:c r="C7" s="165"/>
      <x:c r="D7" s="172" t="str">
        <x:v>EBITDA</x:v>
      </x:c>
      <x:c r="E7" s="173"/>
      <x:c r="F7" s="172" t="str">
        <x:v>MARGE EBITDA</x:v>
      </x:c>
      <x:c r="G7" s="173"/>
      <x:c r="H7" s="164" t="str">
        <x:v>NOUVEAUX INSCRITS</x:v>
      </x:c>
      <x:c r="I7" s="165"/>
      <x:c r="J7" s="176" t="str">
        <x:v>CAC / NOUVEL INSCRIT</x:v>
      </x:c>
      <x:c r="K7" s="177"/>
      <x:c r="L7" s="176" t="str">
        <x:v>REMPLISSAGE GROUPE</x:v>
      </x:c>
      <x:c r="M7" s="177"/>
      <x:c r="N7" s="135"/>
      <x:c r="O7" s="135"/>
    </x:row>
    <x:row r="8" ht="28.049999237060547" customHeight="1">
      <x:c r="A8" s="135"/>
      <x:c r="B8" s="180" t="n">
        <x:f>C39</x:f>
        <x:v>23098985</x:v>
      </x:c>
      <x:c r="C8" s="167"/>
      <x:c r="D8" s="180" t="n">
        <x:f>E39</x:f>
        <x:v>3845790</x:v>
      </x:c>
      <x:c r="E8" s="167"/>
      <x:c r="F8" s="181" t="n">
        <x:f>H39</x:f>
        <x:v>0.16649173113017737</x:v>
      </x:c>
      <x:c r="G8" s="167"/>
      <x:c r="H8" s="182" t="n">
        <x:f>J39</x:f>
        <x:v>1229</x:v>
      </x:c>
      <x:c r="I8" s="167"/>
      <x:c r="J8" s="183" t="n">
        <x:f>'Données'!D31</x:f>
        <x:v>353.2742066720911</x:v>
      </x:c>
      <x:c r="K8" s="167"/>
      <x:c r="L8" s="181" t="n">
        <x:f>K39</x:f>
        <x:v>0.8464821492713306</x:v>
      </x:c>
      <x:c r="M8" s="167"/>
      <x:c r="N8" s="135"/>
      <x:c r="O8" s="135"/>
    </x:row>
    <x:row r="9" ht="16.049999237060547" customHeight="1">
      <x:c r="A9" s="135"/>
      <x:c r="B9" s="184" t="n">
        <x:f>D39</x:f>
        <x:v>0.060763039003812525</x:v>
      </x:c>
      <x:c r="C9" s="169"/>
      <x:c r="D9" s="185" t="n">
        <x:f>E39-SUM('Données'!$G$15:$G$23)</x:f>
        <x:v>360972</x:v>
      </x:c>
      <x:c r="E9" s="175"/>
      <x:c r="F9" s="186" t="n">
        <x:f>I39</x:f>
        <x:v>0.6460191560140521</x:v>
      </x:c>
      <x:c r="G9" s="175"/>
      <x:c r="H9" s="184" t="n">
        <x:f>H8/'Données'!C29-1</x:f>
        <x:v>0.060396893874029356</x:v>
      </x:c>
      <x:c r="I9" s="187"/>
      <x:c r="J9" s="188" t="n">
        <x:f>J8/'Données'!C31-1</x:f>
        <x:v>0.03735173759685417</x:v>
      </x:c>
      <x:c r="K9" s="179"/>
      <x:c r="L9" s="189" t="n">
        <x:f>(L8-'Données'!C30)*100</x:f>
        <x:v>-1.35178507286694</x:v>
      </x:c>
      <x:c r="M9" s="179"/>
      <x:c r="N9" s="135"/>
      <x:c r="O9" s="135"/>
    </x:row>
    <x:row r="10" ht="8" customHeight="1">
      <x:c r="A10" s="135"/>
      <x:c r="B10" s="170" t="str">
        <x:v>vs 2025</x:v>
      </x:c>
      <x:c r="C10" s="171"/>
      <x:c r="D10" s="170" t="str">
        <x:v>vs 2025</x:v>
      </x:c>
      <x:c r="E10" s="171"/>
      <x:c r="F10" s="170" t="str">
        <x:v>vs 2025</x:v>
      </x:c>
      <x:c r="G10" s="171"/>
      <x:c r="H10" s="170" t="str">
        <x:v>vs 2025</x:v>
      </x:c>
      <x:c r="I10" s="171"/>
      <x:c r="J10" s="170" t="str">
        <x:v>vs 2025</x:v>
      </x:c>
      <x:c r="K10" s="171"/>
      <x:c r="L10" s="170" t="str">
        <x:v>vs 2025</x:v>
      </x:c>
      <x:c r="M10" s="171"/>
      <x:c r="N10" s="135"/>
      <x:c r="O10" s="135"/>
    </x:row>
    <x:row r="11" ht="20" customHeight="1">
      <x:c r="A11" s="135"/>
      <x:c r="B11" s="135"/>
      <x:c r="C11" s="135"/>
      <x:c r="D11" s="135"/>
      <x:c r="E11" s="135"/>
      <x:c r="F11" s="135"/>
      <x:c r="G11" s="135"/>
      <x:c r="H11" s="135"/>
      <x:c r="I11" s="135"/>
      <x:c r="J11" s="135"/>
      <x:c r="K11" s="135"/>
      <x:c r="L11" s="135"/>
      <x:c r="M11" s="135"/>
      <x:c r="N11" s="135"/>
      <x:c r="O11" s="135"/>
    </x:row>
    <x:row r="12" ht="16.049999237060547" customHeight="1">
      <x:c r="A12" s="135"/>
      <x:c r="B12" s="135"/>
      <x:c r="C12" s="135"/>
      <x:c r="D12" s="135"/>
      <x:c r="E12" s="135"/>
      <x:c r="F12" s="135"/>
      <x:c r="G12" s="135"/>
      <x:c r="H12" s="135"/>
      <x:c r="I12" s="135"/>
      <x:c r="J12" s="135"/>
      <x:c r="K12" s="135"/>
      <x:c r="L12" s="135"/>
      <x:c r="M12" s="135"/>
      <x:c r="N12" s="135"/>
      <x:c r="O12" s="135"/>
    </x:row>
    <x:row r="13" ht="16.049999237060547" customHeight="1">
      <x:c r="A13" s="135"/>
      <x:c r="B13" s="135"/>
      <x:c r="C13" s="135"/>
      <x:c r="D13" s="135"/>
      <x:c r="E13" s="135"/>
      <x:c r="F13" s="135"/>
      <x:c r="G13" s="135"/>
      <x:c r="H13" s="135"/>
      <x:c r="I13" s="135"/>
      <x:c r="J13" s="135"/>
      <x:c r="K13" s="135"/>
      <x:c r="L13" s="135"/>
      <x:c r="M13" s="135"/>
      <x:c r="N13" s="135"/>
      <x:c r="O13" s="135"/>
    </x:row>
    <x:row r="14" ht="16.049999237060547" customHeight="1">
      <x:c r="A14" s="135"/>
      <x:c r="B14" s="135"/>
      <x:c r="C14" s="135"/>
      <x:c r="D14" s="135"/>
      <x:c r="E14" s="135"/>
      <x:c r="F14" s="135"/>
      <x:c r="G14" s="135"/>
      <x:c r="H14" s="135"/>
      <x:c r="I14" s="135"/>
      <x:c r="J14" s="135"/>
      <x:c r="K14" s="135"/>
      <x:c r="L14" s="135"/>
      <x:c r="M14" s="135"/>
      <x:c r="N14" s="135"/>
      <x:c r="O14" s="135"/>
    </x:row>
    <x:row r="15" ht="16.049999237060547" customHeight="1">
      <x:c r="A15" s="135"/>
      <x:c r="B15" s="135"/>
      <x:c r="C15" s="135"/>
      <x:c r="D15" s="135"/>
      <x:c r="E15" s="135"/>
      <x:c r="F15" s="135"/>
      <x:c r="G15" s="135"/>
      <x:c r="H15" s="135"/>
      <x:c r="I15" s="135"/>
      <x:c r="J15" s="135"/>
      <x:c r="K15" s="135"/>
      <x:c r="L15" s="135"/>
      <x:c r="M15" s="135"/>
      <x:c r="N15" s="135"/>
      <x:c r="O15" s="135"/>
    </x:row>
    <x:row r="16" ht="16.049999237060547" customHeight="1">
      <x:c r="A16" s="135"/>
      <x:c r="B16" s="135"/>
      <x:c r="C16" s="135"/>
      <x:c r="D16" s="135"/>
      <x:c r="E16" s="135"/>
      <x:c r="F16" s="135"/>
      <x:c r="G16" s="135"/>
      <x:c r="H16" s="135"/>
      <x:c r="I16" s="135"/>
      <x:c r="J16" s="135"/>
      <x:c r="K16" s="135"/>
      <x:c r="L16" s="135"/>
      <x:c r="M16" s="135"/>
      <x:c r="N16" s="135"/>
      <x:c r="O16" s="135"/>
    </x:row>
    <x:row r="17" ht="16.049999237060547" customHeight="1">
      <x:c r="A17" s="135"/>
      <x:c r="B17" s="135"/>
      <x:c r="C17" s="135"/>
      <x:c r="D17" s="135"/>
      <x:c r="E17" s="135"/>
      <x:c r="F17" s="135"/>
      <x:c r="G17" s="135"/>
      <x:c r="H17" s="135"/>
      <x:c r="I17" s="135"/>
      <x:c r="J17" s="135"/>
      <x:c r="K17" s="135"/>
      <x:c r="L17" s="135"/>
      <x:c r="M17" s="135"/>
      <x:c r="N17" s="135"/>
      <x:c r="O17" s="135"/>
    </x:row>
    <x:row r="18" ht="16.049999237060547" customHeight="1">
      <x:c r="A18" s="135"/>
      <x:c r="B18" s="135"/>
      <x:c r="C18" s="135"/>
      <x:c r="D18" s="135"/>
      <x:c r="E18" s="135"/>
      <x:c r="F18" s="135"/>
      <x:c r="G18" s="135"/>
      <x:c r="H18" s="135"/>
      <x:c r="I18" s="135"/>
      <x:c r="J18" s="135"/>
      <x:c r="K18" s="135"/>
      <x:c r="L18" s="135"/>
      <x:c r="M18" s="135"/>
      <x:c r="N18" s="135"/>
      <x:c r="O18" s="135"/>
    </x:row>
    <x:row r="19" ht="16.049999237060547" customHeight="1">
      <x:c r="A19" s="135"/>
      <x:c r="B19" s="135"/>
      <x:c r="C19" s="135"/>
      <x:c r="D19" s="135"/>
      <x:c r="E19" s="135"/>
      <x:c r="F19" s="135"/>
      <x:c r="G19" s="135"/>
      <x:c r="H19" s="135"/>
      <x:c r="I19" s="135"/>
      <x:c r="J19" s="135"/>
      <x:c r="K19" s="135"/>
      <x:c r="L19" s="135"/>
      <x:c r="M19" s="135"/>
      <x:c r="N19" s="135"/>
      <x:c r="O19" s="135"/>
    </x:row>
    <x:row r="20" ht="16.049999237060547" customHeight="1">
      <x:c r="A20" s="135"/>
      <x:c r="B20" s="135"/>
      <x:c r="C20" s="135"/>
      <x:c r="D20" s="135"/>
      <x:c r="E20" s="135"/>
      <x:c r="F20" s="135"/>
      <x:c r="G20" s="135"/>
      <x:c r="H20" s="135"/>
      <x:c r="I20" s="135"/>
      <x:c r="J20" s="135"/>
      <x:c r="K20" s="135"/>
      <x:c r="L20" s="135"/>
      <x:c r="M20" s="135"/>
      <x:c r="N20" s="135"/>
      <x:c r="O20" s="135"/>
    </x:row>
    <x:row r="21" ht="16.049999237060547" customHeight="1">
      <x:c r="A21" s="135"/>
      <x:c r="B21" s="135"/>
      <x:c r="C21" s="135"/>
      <x:c r="D21" s="135"/>
      <x:c r="E21" s="135"/>
      <x:c r="F21" s="135"/>
      <x:c r="G21" s="135"/>
      <x:c r="H21" s="135"/>
      <x:c r="I21" s="135"/>
      <x:c r="J21" s="135"/>
      <x:c r="K21" s="135"/>
      <x:c r="L21" s="135"/>
      <x:c r="M21" s="135"/>
      <x:c r="N21" s="135"/>
      <x:c r="O21" s="135"/>
    </x:row>
    <x:row r="22" ht="16.049999237060547" customHeight="1">
      <x:c r="A22" s="135"/>
      <x:c r="B22" s="135"/>
      <x:c r="C22" s="135"/>
      <x:c r="D22" s="135"/>
      <x:c r="E22" s="135"/>
      <x:c r="F22" s="135"/>
      <x:c r="G22" s="135"/>
      <x:c r="H22" s="135"/>
      <x:c r="I22" s="135"/>
      <x:c r="J22" s="135"/>
      <x:c r="K22" s="135"/>
      <x:c r="L22" s="135"/>
      <x:c r="M22" s="135"/>
      <x:c r="N22" s="135"/>
      <x:c r="O22" s="135"/>
    </x:row>
    <x:row r="23" ht="16.049999237060547" customHeight="1">
      <x:c r="A23" s="135"/>
      <x:c r="B23" s="135"/>
      <x:c r="C23" s="135"/>
      <x:c r="D23" s="135"/>
      <x:c r="E23" s="135"/>
      <x:c r="F23" s="135"/>
      <x:c r="G23" s="135"/>
      <x:c r="H23" s="135"/>
      <x:c r="I23" s="135"/>
      <x:c r="J23" s="135"/>
      <x:c r="K23" s="135"/>
      <x:c r="L23" s="135"/>
      <x:c r="M23" s="135"/>
      <x:c r="N23" s="135"/>
      <x:c r="O23" s="135"/>
    </x:row>
    <x:row r="24" ht="16.049999237060547" customHeight="1">
      <x:c r="A24" s="135"/>
      <x:c r="B24" s="135"/>
      <x:c r="C24" s="135"/>
      <x:c r="D24" s="135"/>
      <x:c r="E24" s="135"/>
      <x:c r="F24" s="135"/>
      <x:c r="G24" s="135"/>
      <x:c r="H24" s="135"/>
      <x:c r="I24" s="135"/>
      <x:c r="J24" s="135"/>
      <x:c r="K24" s="135"/>
      <x:c r="L24" s="135"/>
      <x:c r="M24" s="135"/>
      <x:c r="N24" s="135"/>
      <x:c r="O24" s="135"/>
    </x:row>
    <x:row r="25" ht="16.049999237060547" customHeight="1">
      <x:c r="A25" s="135"/>
      <x:c r="B25" s="135"/>
      <x:c r="C25" s="135"/>
      <x:c r="D25" s="135"/>
      <x:c r="E25" s="135"/>
      <x:c r="F25" s="135"/>
      <x:c r="G25" s="135"/>
      <x:c r="H25" s="135"/>
      <x:c r="I25" s="135"/>
      <x:c r="J25" s="135"/>
      <x:c r="K25" s="135"/>
      <x:c r="L25" s="135"/>
      <x:c r="M25" s="135"/>
      <x:c r="N25" s="135"/>
      <x:c r="O25" s="135"/>
    </x:row>
    <x:row r="26" ht="16.049999237060547" customHeight="1">
      <x:c r="A26" s="135"/>
      <x:c r="B26" s="135"/>
      <x:c r="C26" s="135"/>
      <x:c r="D26" s="135"/>
      <x:c r="E26" s="135"/>
      <x:c r="F26" s="135"/>
      <x:c r="G26" s="135"/>
      <x:c r="H26" s="135"/>
      <x:c r="I26" s="135"/>
      <x:c r="J26" s="135"/>
      <x:c r="K26" s="135"/>
      <x:c r="L26" s="135"/>
      <x:c r="M26" s="135"/>
      <x:c r="N26" s="135"/>
      <x:c r="O26" s="135"/>
    </x:row>
    <x:row r="27" ht="16.049999237060547" customHeight="1">
      <x:c r="A27" s="135"/>
      <x:c r="B27" s="135"/>
      <x:c r="C27" s="135"/>
      <x:c r="D27" s="135"/>
      <x:c r="E27" s="135"/>
      <x:c r="F27" s="135"/>
      <x:c r="G27" s="135"/>
      <x:c r="H27" s="135"/>
      <x:c r="I27" s="135"/>
      <x:c r="J27" s="135"/>
      <x:c r="K27" s="135"/>
      <x:c r="L27" s="135"/>
      <x:c r="M27" s="135"/>
      <x:c r="N27" s="135"/>
      <x:c r="O27" s="135"/>
    </x:row>
    <x:row r="28" ht="16.049999237060547" customHeight="1">
      <x:c r="A28" s="135"/>
      <x:c r="B28" s="135"/>
      <x:c r="C28" s="135"/>
      <x:c r="D28" s="135"/>
      <x:c r="E28" s="135"/>
      <x:c r="F28" s="135"/>
      <x:c r="G28" s="135"/>
      <x:c r="H28" s="135"/>
      <x:c r="I28" s="135"/>
      <x:c r="J28" s="135"/>
      <x:c r="K28" s="135"/>
      <x:c r="L28" s="135"/>
      <x:c r="M28" s="135"/>
      <x:c r="N28" s="135"/>
      <x:c r="O28" s="135"/>
    </x:row>
    <x:row r="29" ht="16.049999237060547" customHeight="1">
      <x:c r="A29" s="135"/>
      <x:c r="B29" s="191" t="str">
        <x:v>Décisions prioritaires — lecture CFO</x:v>
      </x:c>
      <x:c r="C29" s="191"/>
      <x:c r="D29" s="191"/>
      <x:c r="E29" s="191"/>
      <x:c r="F29" s="191"/>
      <x:c r="G29" s="191"/>
      <x:c r="H29" s="191"/>
      <x:c r="I29" s="191"/>
      <x:c r="J29" s="191"/>
      <x:c r="K29" s="191"/>
      <x:c r="L29" s="191"/>
      <x:c r="M29" s="191"/>
      <x:c r="N29" s="191"/>
      <x:c r="O29" s="135"/>
    </x:row>
    <x:row r="30" ht="16.049999237060547" customHeight="1">
      <x:c r="A30" s="135"/>
      <x:c r="B30" s="193" t="str">
        <x:v>Priorité</x:v>
      </x:c>
      <x:c r="C30" s="193"/>
      <x:c r="D30" s="193" t="str">
        <x:v>Constat chiffré</x:v>
      </x:c>
      <x:c r="E30" s="193"/>
      <x:c r="F30" s="193"/>
      <x:c r="G30" s="193"/>
      <x:c r="H30" s="193" t="str">
        <x:v>Enjeu</x:v>
      </x:c>
      <x:c r="I30" s="193"/>
      <x:c r="J30" s="193" t="str">
        <x:v>Décision / action</x:v>
      </x:c>
      <x:c r="K30" s="193"/>
      <x:c r="L30" s="193"/>
      <x:c r="M30" s="193"/>
      <x:c r="N30" s="193"/>
      <x:c r="O30" s="135"/>
    </x:row>
    <x:row r="31" ht="34" customHeight="1">
      <x:c r="A31" s="135"/>
      <x:c r="B31" s="199" t="str">
        <x:v>1 — Redressement</x:v>
      </x:c>
      <x:c r="C31" s="198"/>
      <x:c r="D31" s="198" t="str">
        <x:f>"Tunon : marge "&amp;ROUND(H50*100,1)&amp;" % ; Lyon "&amp;ROUND(H52*100,1)&amp;" % à "&amp;ROUND(K52*100,0)&amp;" % de remplissage."</x:f>
        <x:v>Tunon : marge 4 % ; Lyon -3 % à 67 % de remplissage.</x:v>
      </x:c>
      <x:c r="E31" s="198"/>
      <x:c r="F31" s="198"/>
      <x:c r="G31" s="198"/>
      <x:c r="H31" s="200" t="str">
        <x:v>Risque valeur</x:v>
      </x:c>
      <x:c r="I31" s="198"/>
      <x:c r="J31" s="198" t="str">
        <x:v>Scénariser regroupement / fermeture de classes et plan campus Lyon.</x:v>
      </x:c>
      <x:c r="K31" s="198"/>
      <x:c r="L31" s="198"/>
      <x:c r="M31" s="198"/>
      <x:c r="N31" s="198"/>
      <x:c r="O31" s="135"/>
    </x:row>
    <x:row r="32" ht="34" customHeight="1">
      <x:c r="A32" s="135"/>
      <x:c r="B32" s="199" t="str">
        <x:v>2 — Acquisition</x:v>
      </x:c>
      <x:c r="C32" s="198"/>
      <x:c r="D32" s="198" t="str">
        <x:f>"CAC "&amp;ROUND(J8,0)&amp;" € : "&amp;IF(J9&gt;=0,"+","")&amp;ROUND(J9*100,1)&amp;" % vs 2025, pour "&amp;IF(H9&gt;=0,"+","")&amp;ROUND(H9*100,1)&amp;" % d’inscrits."</x:f>
        <x:v>CAC 353 € : +3.7 % vs 2025, pour +6 % d’inscrits.</x:v>
      </x:c>
      <x:c r="E32" s="198"/>
      <x:c r="F32" s="198"/>
      <x:c r="G32" s="198"/>
      <x:c r="H32" s="200" t="str">
        <x:v>Efficacité marketing</x:v>
      </x:c>
      <x:c r="I32" s="198"/>
      <x:c r="J32" s="198" t="str">
        <x:v>Piloter le CAC marginal et la conversion par marque/campus avant toute hausse 2027.</x:v>
      </x:c>
      <x:c r="K32" s="198"/>
      <x:c r="L32" s="198"/>
      <x:c r="M32" s="198"/>
      <x:c r="N32" s="198"/>
      <x:c r="O32" s="135"/>
    </x:row>
    <x:row r="33" ht="34" customHeight="1">
      <x:c r="A33" s="135"/>
      <x:c r="B33" s="205" t="str">
        <x:v>3 — Capacité</x:v>
      </x:c>
      <x:c r="C33" s="204"/>
      <x:c r="D33" s="204" t="str">
        <x:f>"Remplissage groupe "&amp;ROUND(L8*100,1)&amp;" % ; "&amp;ROUND(L39,0)&amp;" places libres estimées."</x:f>
        <x:v>Remplissage groupe 84.6 % ; 223 places libres estimées.</x:v>
      </x:c>
      <x:c r="E33" s="204"/>
      <x:c r="F33" s="204"/>
      <x:c r="G33" s="204"/>
      <x:c r="H33" s="206" t="str">
        <x:v>Absorption des coûts</x:v>
      </x:c>
      <x:c r="I33" s="204"/>
      <x:c r="J33" s="204" t="str">
        <x:v>Relier places, classes ouvertes, enseignants et point mort par classe.</x:v>
      </x:c>
      <x:c r="K33" s="204"/>
      <x:c r="L33" s="204"/>
      <x:c r="M33" s="204"/>
      <x:c r="N33" s="204"/>
      <x:c r="O33" s="135"/>
    </x:row>
    <x:row r="34" ht="34" customHeight="1">
      <x:c r="A34" s="135"/>
      <x:c r="B34" s="205" t="str">
        <x:v>4 — Performance</x:v>
      </x:c>
      <x:c r="C34" s="204"/>
      <x:c r="D34" s="204" t="str">
        <x:f>"Pigier : "&amp;ROUND(H47*100,1)&amp;" % de marge ; "&amp;IF(I47&gt;=0,"+","")&amp;ROUND(I47,1)&amp;" pt vs 2025."</x:f>
        <x:v>Pigier : 20.2 % de marge ; +0.8 pt vs 2025.</x:v>
      </x:c>
      <x:c r="E34" s="204"/>
      <x:c r="F34" s="204"/>
      <x:c r="G34" s="204"/>
      <x:c r="H34" s="206" t="str">
        <x:v>Levier de marge</x:v>
      </x:c>
      <x:c r="I34" s="204"/>
      <x:c r="J34" s="204" t="str">
        <x:v>Protéger le mix et transposer les pratiques prix/coûts de Pigier.</x:v>
      </x:c>
      <x:c r="K34" s="204"/>
      <x:c r="L34" s="204"/>
      <x:c r="M34" s="204"/>
      <x:c r="N34" s="204"/>
      <x:c r="O34" s="135"/>
    </x:row>
    <x:row r="35" ht="17" customHeight="1">
      <x:c r="A35" s="135"/>
      <x:c r="B35" s="135"/>
      <x:c r="C35" s="135"/>
      <x:c r="D35" s="135"/>
      <x:c r="E35" s="135"/>
      <x:c r="F35" s="135"/>
      <x:c r="G35" s="135"/>
      <x:c r="H35" s="135"/>
      <x:c r="I35" s="135"/>
      <x:c r="J35" s="135"/>
      <x:c r="K35" s="135"/>
      <x:c r="L35" s="135"/>
      <x:c r="M35" s="135"/>
      <x:c r="N35" s="135"/>
      <x:c r="O35" s="135"/>
    </x:row>
    <x:row r="36" ht="17" customHeight="1">
      <x:c r="A36" s="135"/>
      <x:c r="B36" s="135"/>
      <x:c r="C36" s="135"/>
      <x:c r="D36" s="135"/>
      <x:c r="E36" s="135"/>
      <x:c r="F36" s="135"/>
      <x:c r="G36" s="135"/>
      <x:c r="H36" s="135"/>
      <x:c r="I36" s="135"/>
      <x:c r="J36" s="135"/>
      <x:c r="K36" s="135"/>
      <x:c r="L36" s="135"/>
      <x:c r="M36" s="135"/>
      <x:c r="N36" s="135"/>
      <x:c r="O36" s="135"/>
    </x:row>
    <x:row r="37" ht="17" customHeight="1">
      <x:c r="A37" s="135"/>
      <x:c r="B37" s="191" t="str">
        <x:v>Portefeuille — contribution, rentabilité et capacité</x:v>
      </x:c>
      <x:c r="C37" s="191"/>
      <x:c r="D37" s="191"/>
      <x:c r="E37" s="191"/>
      <x:c r="F37" s="191"/>
      <x:c r="G37" s="191"/>
      <x:c r="H37" s="191"/>
      <x:c r="I37" s="191"/>
      <x:c r="J37" s="191"/>
      <x:c r="K37" s="191"/>
      <x:c r="L37" s="191"/>
      <x:c r="M37" s="191"/>
      <x:c r="N37" s="191"/>
      <x:c r="O37" s="135"/>
    </x:row>
    <x:row r="38" ht="17" customHeight="1">
      <x:c r="A38" s="135"/>
      <x:c r="B38" s="272" t="str">
        <x:v>Marque / campus</x:v>
      </x:c>
      <x:c r="C38" s="209" t="str">
        <x:v>CA 2026</x:v>
      </x:c>
      <x:c r="D38" s="209" t="str">
        <x:v>Δ CA</x:v>
      </x:c>
      <x:c r="E38" s="209" t="str">
        <x:v>EBITDA</x:v>
      </x:c>
      <x:c r="F38" s="209" t="str">
        <x:v>Δ EBITDA</x:v>
      </x:c>
      <x:c r="G38" s="209" t="str">
        <x:v>Part EBITDA</x:v>
      </x:c>
      <x:c r="H38" s="209" t="str">
        <x:v>Marge</x:v>
      </x:c>
      <x:c r="I38" s="209" t="str">
        <x:v>Δ marge</x:v>
      </x:c>
      <x:c r="J38" s="209" t="str">
        <x:v>Nouveaux</x:v>
      </x:c>
      <x:c r="K38" s="209" t="str">
        <x:v>Rempl.</x:v>
      </x:c>
      <x:c r="L38" s="209" t="str">
        <x:v>Places libres*</x:v>
      </x:c>
      <x:c r="M38" s="209" t="str">
        <x:v>Mix alt.</x:v>
      </x:c>
      <x:c r="N38" s="209" t="str">
        <x:v>Statut</x:v>
      </x:c>
      <x:c r="O38" s="135"/>
    </x:row>
    <x:row r="39" ht="17" customHeight="1">
      <x:c r="A39" s="135"/>
      <x:c r="B39" s="273" t="str">
        <x:v>GROUPE</x:v>
      </x:c>
      <x:c r="C39" s="242" t="n">
        <x:f>SUM('Données'!$E$15:$E$23)</x:f>
        <x:v>23098985</x:v>
      </x:c>
      <x:c r="D39" s="243" t="n">
        <x:f>C39/SUM('Données'!$D$15:$D$23)-1</x:f>
        <x:v>0.060763039003812525</x:v>
      </x:c>
      <x:c r="E39" s="244" t="n">
        <x:f>SUM('Données'!$H$15:$H$23)</x:f>
        <x:v>3845790</x:v>
      </x:c>
      <x:c r="F39" s="244" t="n">
        <x:f>E39-SUM('Données'!$G$15:$G$23)</x:f>
        <x:v>360972</x:v>
      </x:c>
      <x:c r="G39" s="245" t="n">
        <x:f>1</x:f>
        <x:v>1</x:v>
      </x:c>
      <x:c r="H39" s="245" t="n">
        <x:f>E39/C39</x:f>
        <x:v>0.16649173113017737</x:v>
      </x:c>
      <x:c r="I39" s="246" t="n">
        <x:f>(H39-SUM('Données'!$G$15:$G$23)/SUM('Données'!$D$15:$D$23))*100</x:f>
        <x:v>0.6460191560140521</x:v>
      </x:c>
      <x:c r="J39" s="247" t="n">
        <x:f>SUM('Données'!$I$15:$I$23)</x:f>
        <x:v>1229</x:v>
      </x:c>
      <x:c r="K39" s="245" t="n">
        <x:f>J39/SUM('Données'!$L$15:$L$23)</x:f>
        <x:v>0.8464821492713306</x:v>
      </x:c>
      <x:c r="L39" s="247" t="n">
        <x:f>SUM('Données'!$M$15:$M$23)</x:f>
        <x:v>222.89121951118366</x:v>
      </x:c>
      <x:c r="M39" s="245" t="n">
        <x:f>SUMPRODUCT('Données'!$I$15:$I$23,'Données'!$K$15:$K$23)/J39</x:f>
        <x:v>0.7455899104963385</x:v>
      </x:c>
      <x:c r="N39" s="266" t="str">
        <x:f>"PILOTAGE"</x:f>
        <x:v>PILOTAGE</x:v>
      </x:c>
      <x:c r="O39" s="135"/>
    </x:row>
    <x:row r="40" ht="17" customHeight="1">
      <x:c r="A40" s="135"/>
      <x:c r="B40" s="274" t="str">
        <x:v>MBway</x:v>
      </x:c>
      <x:c r="C40" s="248" t="n">
        <x:f>SUMIF('Données'!$B$15:$B$23,$B40,'Données'!$E$15:$E$23)</x:f>
        <x:v>9700000</x:v>
      </x:c>
      <x:c r="D40" s="249" t="n">
        <x:f>C40/SUMIF('Données'!$B$15:$B$23,$B40,'Données'!$D$15:$D$23)-1</x:f>
        <x:v>0.07241249805003336</x:v>
      </x:c>
      <x:c r="E40" s="250" t="n">
        <x:f>SUMIF('Données'!$B$15:$B$23,$B40,'Données'!$H$15:$H$23)</x:f>
        <x:v>1690000</x:v>
      </x:c>
      <x:c r="F40" s="250" t="n">
        <x:f>E40-SUMIF('Données'!$B$15:$B$23,$B40,'Données'!$G$15:$G$23)</x:f>
        <x:v>206202</x:v>
      </x:c>
      <x:c r="G40" s="251" t="n">
        <x:f>E40/$E$39</x:f>
        <x:v>0.43944157117263294</x:v>
      </x:c>
      <x:c r="H40" s="251" t="n">
        <x:f>E40/C40</x:f>
        <x:v>0.17422680412371133</x:v>
      </x:c>
      <x:c r="I40" s="252" t="n">
        <x:f>(H40-SUMIF('Données'!$B$15:$B$23,$B40,'Données'!$G$15:$G$23)/SUMIF('Données'!$B$15:$B$23,$B40,'Données'!$D$15:$D$23))*100</x:f>
        <x:v>1.018108043488211</x:v>
      </x:c>
      <x:c r="J40" s="253" t="n">
        <x:f>SUMIF('Données'!$B$15:$B$23,$B40,'Données'!$I$15:$I$23)</x:f>
        <x:v>512</x:v>
      </x:c>
      <x:c r="K40" s="251" t="n">
        <x:f>J40/SUMIF('Données'!$B$15:$B$23,$B40,'Données'!$L$15:$L$23)</x:f>
        <x:v>0.8800352791462446</x:v>
      </x:c>
      <x:c r="L40" s="253" t="n">
        <x:f>SUMIF('Données'!$B$15:$B$23,$B40,'Données'!$M$15:$M$23)</x:f>
        <x:v>69.79485769787604</x:v>
      </x:c>
      <x:c r="M40" s="251" t="n">
        <x:f>SUMPRODUCT(('Données'!$B$15:$B$23=$B40)*'Données'!$I$15:$I$23*'Données'!$K$15:$K$23)/J40</x:f>
        <x:v>0.78046875</x:v>
      </x:c>
      <x:c r="N40" s="267" t="str">
        <x:f>IF(OR(H40&lt;0,K40&lt;0.7),"CRITIQUE",IF(H40&lt;0.08,"À REDRESSER",IF(OR(K40&lt;0.8,I40&lt;-1),"SURVEILLANCE","SOLIDE")))</x:f>
        <x:v>SOLIDE</x:v>
      </x:c>
      <x:c r="O40" s="135"/>
    </x:row>
    <x:row r="41" ht="17" customHeight="1">
      <x:c r="A41" s="135"/>
      <x:c r="B41" s="275" t="str">
        <x:v>MBWAY_PAR</x:v>
      </x:c>
      <x:c r="C41" s="254" t="n">
        <x:f>VLOOKUP($B41,'Données'!$A$15:$M$23,5,0)</x:f>
        <x:v>4250000</x:v>
      </x:c>
      <x:c r="D41" s="255" t="n">
        <x:f>C41/VLOOKUP($B41,'Données'!$A$15:$M$23,4,0)-1</x:f>
        <x:v>0.08400005713317937</x:v>
      </x:c>
      <x:c r="E41" s="256" t="n">
        <x:f>VLOOKUP($B41,'Données'!$A$15:$M$23,8,0)</x:f>
        <x:v>812000</x:v>
      </x:c>
      <x:c r="F41" s="256" t="n">
        <x:f>E41-VLOOKUP($B41,'Données'!$A$15:$M$23,7,0)</x:f>
        <x:v>133216</x:v>
      </x:c>
      <x:c r="G41" s="257" t="n">
        <x:f>E41/$E$39</x:f>
        <x:v>0.2111399738415254</x:v>
      </x:c>
      <x:c r="H41" s="257" t="n">
        <x:f>E41/C41</x:f>
        <x:v>0.19105882352941175</x:v>
      </x:c>
      <x:c r="I41" s="258" t="n">
        <x:f>(H41-VLOOKUP($B41,'Données'!$A$15:$M$23,7,0)/VLOOKUP($B41,'Données'!$A$15:$M$23,4,0))*100</x:f>
        <x:v>1.7928965933861618</x:v>
      </x:c>
      <x:c r="J41" s="259" t="n">
        <x:f>VLOOKUP($B41,'Données'!$A$15:$M$23,9,0)</x:f>
        <x:v>224</x:v>
      </x:c>
      <x:c r="K41" s="257" t="n">
        <x:f>VLOOKUP($B41,'Données'!$A$15:$M$23,10,0)</x:f>
        <x:v>0.94</x:v>
      </x:c>
      <x:c r="L41" s="259" t="n">
        <x:f>VLOOKUP($B41,'Données'!$A$15:$M$23,13,0)</x:f>
        <x:v>14.297872340425556</x:v>
      </x:c>
      <x:c r="M41" s="257" t="n">
        <x:f>VLOOKUP($B41,'Données'!$A$15:$M$23,11,0)</x:f>
        <x:v>0.81</x:v>
      </x:c>
      <x:c r="N41" s="268" t="str">
        <x:f>IF(OR(H41&lt;0,K41&lt;0.7),"CRITIQUE",IF(H41&lt;0.08,"À REDRESSER",IF(OR(K41&lt;0.8,I41&lt;-1),"SURVEILLANCE","SOLIDE")))</x:f>
        <x:v>SOLIDE</x:v>
      </x:c>
      <x:c r="O41" s="135"/>
    </x:row>
    <x:row r="42" ht="17" customHeight="1">
      <x:c r="A42" s="135"/>
      <x:c r="B42" s="275" t="str">
        <x:v>MBWAY_LYO</x:v>
      </x:c>
      <x:c r="C42" s="254" t="n">
        <x:f>VLOOKUP($B42,'Données'!$A$15:$M$23,5,0)</x:f>
        <x:v>3180000</x:v>
      </x:c>
      <x:c r="D42" s="255" t="n">
        <x:f>C42/VLOOKUP($B42,'Données'!$A$15:$M$23,4,0)-1</x:f>
        <x:v>0.0690002696032126</x:v>
      </x:c>
      <x:c r="E42" s="256" t="n">
        <x:f>VLOOKUP($B42,'Données'!$A$15:$M$23,8,0)</x:f>
        <x:v>528000</x:v>
      </x:c>
      <x:c r="F42" s="256" t="n">
        <x:f>E42-VLOOKUP($B42,'Données'!$A$15:$M$23,7,0)</x:f>
        <x:v>48871</x:v>
      </x:c>
      <x:c r="G42" s="257" t="n">
        <x:f>E42/$E$39</x:f>
        <x:v>0.13729298791665692</x:v>
      </x:c>
      <x:c r="H42" s="257" t="n">
        <x:f>E42/C42</x:f>
        <x:v>0.1660377358490566</x:v>
      </x:c>
      <x:c r="I42" s="258" t="n">
        <x:f>(H42-VLOOKUP($B42,'Données'!$A$15:$M$23,7,0)/VLOOKUP($B42,'Données'!$A$15:$M$23,4,0))*100</x:f>
        <x:v>0.49720030897114076</x:v>
      </x:c>
      <x:c r="J42" s="259" t="n">
        <x:f>VLOOKUP($B42,'Données'!$A$15:$M$23,9,0)</x:f>
        <x:v>168</x:v>
      </x:c>
      <x:c r="K42" s="257" t="n">
        <x:f>VLOOKUP($B42,'Données'!$A$15:$M$23,10,0)</x:f>
        <x:v>0.86</x:v>
      </x:c>
      <x:c r="L42" s="259" t="n">
        <x:f>VLOOKUP($B42,'Données'!$A$15:$M$23,13,0)</x:f>
        <x:v>27.34883720930233</x:v>
      </x:c>
      <x:c r="M42" s="257" t="n">
        <x:f>VLOOKUP($B42,'Données'!$A$15:$M$23,11,0)</x:f>
        <x:v>0.77</x:v>
      </x:c>
      <x:c r="N42" s="268" t="str">
        <x:f>IF(OR(H42&lt;0,K42&lt;0.7),"CRITIQUE",IF(H42&lt;0.08,"À REDRESSER",IF(OR(K42&lt;0.8,I42&lt;-1),"SURVEILLANCE","SOLIDE")))</x:f>
        <x:v>SOLIDE</x:v>
      </x:c>
      <x:c r="O42" s="135"/>
    </x:row>
    <x:row r="43" ht="17" customHeight="1">
      <x:c r="A43" s="135"/>
      <x:c r="B43" s="275" t="str">
        <x:v>MBWAY_BOR</x:v>
      </x:c>
      <x:c r="C43" s="254" t="n">
        <x:f>VLOOKUP($B43,'Données'!$A$15:$M$23,5,0)</x:f>
        <x:v>2270000</x:v>
      </x:c>
      <x:c r="D43" s="255" t="n">
        <x:f>C43/VLOOKUP($B43,'Données'!$A$15:$M$23,4,0)-1</x:f>
        <x:v>0.05600010420441559</x:v>
      </x:c>
      <x:c r="E43" s="256" t="n">
        <x:f>VLOOKUP($B43,'Données'!$A$15:$M$23,8,0)</x:f>
        <x:v>350000</x:v>
      </x:c>
      <x:c r="F43" s="256" t="n">
        <x:f>E43-VLOOKUP($B43,'Données'!$A$15:$M$23,7,0)</x:f>
        <x:v>24115</x:v>
      </x:c>
      <x:c r="G43" s="257" t="n">
        <x:f>E43/$E$39</x:f>
        <x:v>0.0910086094144506</x:v>
      </x:c>
      <x:c r="H43" s="257" t="n">
        <x:f>E43/C43</x:f>
        <x:v>0.15418502202643172</x:v>
      </x:c>
      <x:c r="I43" s="258" t="n">
        <x:f>(H43-VLOOKUP($B43,'Données'!$A$15:$M$23,7,0)/VLOOKUP($B43,'Données'!$A$15:$M$23,4,0))*100</x:f>
        <x:v>0.25838793133674265</x:v>
      </x:c>
      <x:c r="J43" s="259" t="n">
        <x:f>VLOOKUP($B43,'Données'!$A$15:$M$23,9,0)</x:f>
        <x:v>120</x:v>
      </x:c>
      <x:c r="K43" s="257" t="n">
        <x:f>VLOOKUP($B43,'Données'!$A$15:$M$23,10,0)</x:f>
        <x:v>0.81</x:v>
      </x:c>
      <x:c r="L43" s="259" t="n">
        <x:f>VLOOKUP($B43,'Données'!$A$15:$M$23,13,0)</x:f>
        <x:v>28.148148148148152</x:v>
      </x:c>
      <x:c r="M43" s="257" t="n">
        <x:f>VLOOKUP($B43,'Données'!$A$15:$M$23,11,0)</x:f>
        <x:v>0.74</x:v>
      </x:c>
      <x:c r="N43" s="268" t="str">
        <x:f>IF(OR(H43&lt;0,K43&lt;0.7),"CRITIQUE",IF(H43&lt;0.08,"À REDRESSER",IF(OR(K43&lt;0.8,I43&lt;-1),"SURVEILLANCE","SOLIDE")))</x:f>
        <x:v>SOLIDE</x:v>
      </x:c>
      <x:c r="O43" s="135"/>
    </x:row>
    <x:row r="44" ht="17" customHeight="1">
      <x:c r="A44" s="135"/>
      <x:c r="B44" s="274" t="str">
        <x:v>Iscom</x:v>
      </x:c>
      <x:c r="C44" s="248" t="n">
        <x:f>SUMIF('Données'!$B$15:$B$23,$B44,'Données'!$E$15:$E$23)</x:f>
        <x:v>6601085</x:v>
      </x:c>
      <x:c r="D44" s="249" t="n">
        <x:f>C44/SUMIF('Données'!$B$15:$B$23,$B44,'Données'!$D$15:$D$23)-1</x:f>
        <x:v>0.05083602552538746</x:v>
      </x:c>
      <x:c r="E44" s="250" t="n">
        <x:f>SUMIF('Données'!$B$15:$B$23,$B44,'Données'!$H$15:$H$23)</x:f>
        <x:v>1081990</x:v>
      </x:c>
      <x:c r="F44" s="250" t="n">
        <x:f>E44-SUMIF('Données'!$B$15:$B$23,$B44,'Données'!$G$15:$G$23)</x:f>
        <x:v>73490</x:v>
      </x:c>
      <x:c r="G44" s="251" t="n">
        <x:f>E44/$E$39</x:f>
        <x:v>0.2813440151438326</x:v>
      </x:c>
      <x:c r="H44" s="251" t="n">
        <x:f>E44/C44</x:f>
        <x:v>0.16391093282392213</x:v>
      </x:c>
      <x:c r="I44" s="252" t="n">
        <x:f>(H44-SUMIF('Données'!$B$15:$B$23,$B44,'Données'!$G$15:$G$23)/SUMIF('Données'!$B$15:$B$23,$B44,'Données'!$D$15:$D$23))*100</x:f>
        <x:v>0.33663963208543646</x:v>
      </x:c>
      <x:c r="J44" s="253" t="n">
        <x:f>SUMIF('Données'!$B$15:$B$23,$B44,'Données'!$I$15:$I$23)</x:f>
        <x:v>341</x:v>
      </x:c>
      <x:c r="K44" s="251" t="n">
        <x:f>J44/SUMIF('Données'!$B$15:$B$23,$B44,'Données'!$L$15:$L$23)</x:f>
        <x:v>0.8506800125993071</x:v>
      </x:c>
      <x:c r="L44" s="253" t="n">
        <x:f>SUMIF('Données'!$B$15:$B$23,$B44,'Données'!$M$15:$M$23)</x:f>
        <x:v>59.85578002244668</x:v>
      </x:c>
      <x:c r="M44" s="251" t="n">
        <x:f>SUMPRODUCT(('Données'!$B$15:$B$23=$B44)*'Données'!$I$15:$I$23*'Données'!$K$15:$K$23)/J44</x:f>
        <x:v>0.6500586510263929</x:v>
      </x:c>
      <x:c r="N44" s="267" t="str">
        <x:f>IF(OR(H44&lt;0,K44&lt;0.7),"CRITIQUE",IF(H44&lt;0.08,"À REDRESSER",IF(OR(K44&lt;0.8,I44&lt;-1),"SURVEILLANCE","SOLIDE")))</x:f>
        <x:v>SOLIDE</x:v>
      </x:c>
      <x:c r="O44" s="135"/>
    </x:row>
    <x:row r="45" ht="17" customHeight="1">
      <x:c r="A45" s="135"/>
      <x:c r="B45" s="275" t="str">
        <x:v>ISCOM_PAR</x:v>
      </x:c>
      <x:c r="C45" s="254" t="n">
        <x:f>VLOOKUP($B45,'Données'!$A$15:$M$23,5,0)</x:f>
        <x:v>4010000</x:v>
      </x:c>
      <x:c r="D45" s="255" t="n">
        <x:f>C45/VLOOKUP($B45,'Données'!$A$15:$M$23,4,0)-1</x:f>
        <x:v>0.059999962992520084</x:v>
      </x:c>
      <x:c r="E45" s="256" t="n">
        <x:f>VLOOKUP($B45,'Données'!$A$15:$M$23,8,0)</x:f>
        <x:v>690000</x:v>
      </x:c>
      <x:c r="F45" s="256" t="n">
        <x:f>E45-VLOOKUP($B45,'Données'!$A$15:$M$23,7,0)</x:f>
        <x:v>45000</x:v>
      </x:c>
      <x:c r="G45" s="257" t="n">
        <x:f>E45/$E$39</x:f>
        <x:v>0.17941697284563118</x:v>
      </x:c>
      <x:c r="H45" s="257" t="n">
        <x:f>E45/C45</x:f>
        <x:v>0.17206982543640897</x:v>
      </x:c>
      <x:c r="I45" s="258" t="n">
        <x:f>(H45-VLOOKUP($B45,'Données'!$A$15:$M$23,7,0)/VLOOKUP($B45,'Données'!$A$15:$M$23,4,0))*100</x:f>
        <x:v>0.15710782717767158</x:v>
      </x:c>
      <x:c r="J45" s="259" t="n">
        <x:f>VLOOKUP($B45,'Données'!$A$15:$M$23,9,0)</x:f>
        <x:v>205</x:v>
      </x:c>
      <x:c r="K45" s="257" t="n">
        <x:f>VLOOKUP($B45,'Données'!$A$15:$M$23,10,0)</x:f>
        <x:v>0.88</x:v>
      </x:c>
      <x:c r="L45" s="259" t="n">
        <x:f>VLOOKUP($B45,'Données'!$A$15:$M$23,13,0)</x:f>
        <x:v>27.954545454545467</x:v>
      </x:c>
      <x:c r="M45" s="257" t="n">
        <x:f>VLOOKUP($B45,'Données'!$A$15:$M$23,11,0)</x:f>
        <x:v>0.67</x:v>
      </x:c>
      <x:c r="N45" s="268" t="str">
        <x:f>IF(OR(H45&lt;0,K45&lt;0.7),"CRITIQUE",IF(H45&lt;0.08,"À REDRESSER",IF(OR(K45&lt;0.8,I45&lt;-1),"SURVEILLANCE","SOLIDE")))</x:f>
        <x:v>SOLIDE</x:v>
      </x:c>
      <x:c r="O45" s="135"/>
    </x:row>
    <x:row r="46" ht="17" customHeight="1">
      <x:c r="A46" s="135"/>
      <x:c r="B46" s="275" t="str">
        <x:v>ISCOM_LIL</x:v>
      </x:c>
      <x:c r="C46" s="254" t="n">
        <x:f>VLOOKUP($B46,'Données'!$A$15:$M$23,5,0)</x:f>
        <x:v>2591085</x:v>
      </x:c>
      <x:c r="D46" s="255" t="n">
        <x:f>C46/VLOOKUP($B46,'Données'!$A$15:$M$23,4,0)-1</x:f>
        <x:v>0.03696202106112434</x:v>
      </x:c>
      <x:c r="E46" s="256" t="n">
        <x:f>VLOOKUP($B46,'Données'!$A$15:$M$23,8,0)</x:f>
        <x:v>391990</x:v>
      </x:c>
      <x:c r="F46" s="256" t="n">
        <x:f>E46-VLOOKUP($B46,'Données'!$A$15:$M$23,7,0)</x:f>
        <x:v>28490</x:v>
      </x:c>
      <x:c r="G46" s="257" t="n">
        <x:f>E46/$E$39</x:f>
        <x:v>0.1019270422982014</x:v>
      </x:c>
      <x:c r="H46" s="257" t="n">
        <x:f>E46/C46</x:f>
        <x:v>0.15128411456976518</x:v>
      </x:c>
      <x:c r="I46" s="258" t="n">
        <x:f>(H46-VLOOKUP($B46,'Données'!$A$15:$M$23,7,0)/VLOOKUP($B46,'Données'!$A$15:$M$23,4,0))*100</x:f>
        <x:v>0.5810039170571907</x:v>
      </x:c>
      <x:c r="J46" s="259" t="n">
        <x:f>VLOOKUP($B46,'Données'!$A$15:$M$23,9,0)</x:f>
        <x:v>136</x:v>
      </x:c>
      <x:c r="K46" s="257" t="n">
        <x:f>VLOOKUP($B46,'Données'!$A$15:$M$23,10,0)</x:f>
        <x:v>0.81</x:v>
      </x:c>
      <x:c r="L46" s="259" t="n">
        <x:f>VLOOKUP($B46,'Données'!$A$15:$M$23,13,0)</x:f>
        <x:v>31.901234567901213</x:v>
      </x:c>
      <x:c r="M46" s="257" t="n">
        <x:f>VLOOKUP($B46,'Données'!$A$15:$M$23,11,0)</x:f>
        <x:v>0.62</x:v>
      </x:c>
      <x:c r="N46" s="268" t="str">
        <x:f>IF(OR(H46&lt;0,K46&lt;0.7),"CRITIQUE",IF(H46&lt;0.08,"À REDRESSER",IF(OR(K46&lt;0.8,I46&lt;-1),"SURVEILLANCE","SOLIDE")))</x:f>
        <x:v>SOLIDE</x:v>
      </x:c>
      <x:c r="O46" s="135"/>
    </x:row>
    <x:row r="47" ht="17" customHeight="1">
      <x:c r="A47" s="135"/>
      <x:c r="B47" s="274" t="str">
        <x:v>Pigier</x:v>
      </x:c>
      <x:c r="C47" s="248" t="n">
        <x:f>SUMIF('Données'!$B$15:$B$23,$B47,'Données'!$E$15:$E$23)</x:f>
        <x:v>4950000</x:v>
      </x:c>
      <x:c r="D47" s="249" t="n">
        <x:f>C47/SUMIF('Données'!$B$15:$B$23,$B47,'Données'!$D$15:$D$23)-1</x:f>
        <x:v>0.06778101299845418</x:v>
      </x:c>
      <x:c r="E47" s="250" t="n">
        <x:f>SUMIF('Données'!$B$15:$B$23,$B47,'Données'!$H$15:$H$23)</x:f>
        <x:v>999900</x:v>
      </x:c>
      <x:c r="F47" s="250" t="n">
        <x:f>E47-SUMIF('Données'!$B$15:$B$23,$B47,'Données'!$G$15:$G$23)</x:f>
        <x:v>101400</x:v>
      </x:c>
      <x:c r="G47" s="251" t="n">
        <x:f>E47/$E$39</x:f>
        <x:v>0.25999859586716906</x:v>
      </x:c>
      <x:c r="H47" s="251" t="n">
        <x:f>E47/C47</x:f>
        <x:v>0.202</x:v>
      </x:c>
      <x:c r="I47" s="252" t="n">
        <x:f>(H47-SUMIF('Données'!$B$15:$B$23,$B47,'Données'!$G$15:$G$23)/SUMIF('Données'!$B$15:$B$23,$B47,'Données'!$D$15:$D$23))*100</x:f>
        <x:v>0.8181567640583642</x:v>
      </x:c>
      <x:c r="J47" s="253" t="n">
        <x:f>SUMIF('Données'!$B$15:$B$23,$B47,'Données'!$I$15:$I$23)</x:f>
        <x:v>268</x:v>
      </x:c>
      <x:c r="K47" s="251" t="n">
        <x:f>J47/SUMIF('Données'!$B$15:$B$23,$B47,'Données'!$L$15:$L$23)</x:f>
        <x:v>0.8308627521613832</x:v>
      </x:c>
      <x:c r="L47" s="253" t="n">
        <x:f>SUMIF('Données'!$B$15:$B$23,$B47,'Données'!$M$15:$M$23)</x:f>
        <x:v>54.55628177196806</x:v>
      </x:c>
      <x:c r="M47" s="251" t="n">
        <x:f>SUMPRODUCT(('Données'!$B$15:$B$23=$B47)*'Données'!$I$15:$I$23*'Données'!$K$15:$K$23)/J47</x:f>
        <x:v>0.8206716417910448</x:v>
      </x:c>
      <x:c r="N47" s="267" t="str">
        <x:f>IF(OR(H47&lt;0,K47&lt;0.7),"CRITIQUE",IF(H47&lt;0.08,"À REDRESSER",IF(OR(K47&lt;0.8,I47&lt;-1),"SURVEILLANCE","SOLIDE")))</x:f>
        <x:v>SOLIDE</x:v>
      </x:c>
      <x:c r="O47" s="135"/>
    </x:row>
    <x:row r="48" ht="17" customHeight="1">
      <x:c r="A48" s="135"/>
      <x:c r="B48" s="275" t="str">
        <x:v>PIGIER_BOR</x:v>
      </x:c>
      <x:c r="C48" s="254" t="n">
        <x:f>VLOOKUP($B48,'Données'!$A$15:$M$23,5,0)</x:f>
        <x:v>2640000</x:v>
      </x:c>
      <x:c r="D48" s="255" t="n">
        <x:f>C48/VLOOKUP($B48,'Données'!$A$15:$M$23,4,0)-1</x:f>
        <x:v>0.07199981158791191</x:v>
      </x:c>
      <x:c r="E48" s="256" t="n">
        <x:f>VLOOKUP($B48,'Données'!$A$15:$M$23,8,0)</x:f>
        <x:v>545000</x:v>
      </x:c>
      <x:c r="F48" s="256" t="n">
        <x:f>E48-VLOOKUP($B48,'Données'!$A$15:$M$23,7,0)</x:f>
        <x:v>57000</x:v>
      </x:c>
      <x:c r="G48" s="257" t="n">
        <x:f>E48/$E$39</x:f>
        <x:v>0.14171340608821595</x:v>
      </x:c>
      <x:c r="H48" s="257" t="n">
        <x:f>E48/C48</x:f>
        <x:v>0.20643939393939395</x:v>
      </x:c>
      <x:c r="I48" s="258" t="n">
        <x:f>(H48-VLOOKUP($B48,'Données'!$A$15:$M$23,7,0)/VLOOKUP($B48,'Données'!$A$15:$M$23,4,0))*100</x:f>
        <x:v>0.8281853009507206</x:v>
      </x:c>
      <x:c r="J48" s="259" t="n">
        <x:f>VLOOKUP($B48,'Données'!$A$15:$M$23,9,0)</x:f>
        <x:v>143</x:v>
      </x:c>
      <x:c r="K48" s="257" t="n">
        <x:f>VLOOKUP($B48,'Données'!$A$15:$M$23,10,0)</x:f>
        <x:v>0.85</x:v>
      </x:c>
      <x:c r="L48" s="259" t="n">
        <x:f>VLOOKUP($B48,'Données'!$A$15:$M$23,13,0)</x:f>
        <x:v>25.235294117647072</x:v>
      </x:c>
      <x:c r="M48" s="257" t="n">
        <x:f>VLOOKUP($B48,'Données'!$A$15:$M$23,11,0)</x:f>
        <x:v>0.83</x:v>
      </x:c>
      <x:c r="N48" s="268" t="str">
        <x:f>IF(OR(H48&lt;0,K48&lt;0.7),"CRITIQUE",IF(H48&lt;0.08,"À REDRESSER",IF(OR(K48&lt;0.8,I48&lt;-1),"SURVEILLANCE","SOLIDE")))</x:f>
        <x:v>SOLIDE</x:v>
      </x:c>
      <x:c r="O48" s="135"/>
    </x:row>
    <x:row r="49" ht="8" customHeight="1">
      <x:c r="A49" s="135"/>
      <x:c r="B49" s="275" t="str">
        <x:v>PIGIER_LYO</x:v>
      </x:c>
      <x:c r="C49" s="254" t="n">
        <x:f>VLOOKUP($B49,'Données'!$A$15:$M$23,5,0)</x:f>
        <x:v>2310000</x:v>
      </x:c>
      <x:c r="D49" s="255" t="n">
        <x:f>C49/VLOOKUP($B49,'Données'!$A$15:$M$23,4,0)-1</x:f>
        <x:v>0.06300000690259755</x:v>
      </x:c>
      <x:c r="E49" s="256" t="n">
        <x:f>VLOOKUP($B49,'Données'!$A$15:$M$23,8,0)</x:f>
        <x:v>454900</x:v>
      </x:c>
      <x:c r="F49" s="256" t="n">
        <x:f>E49-VLOOKUP($B49,'Données'!$A$15:$M$23,7,0)</x:f>
        <x:v>44400</x:v>
      </x:c>
      <x:c r="G49" s="257" t="n">
        <x:f>E49/$E$39</x:f>
        <x:v>0.1182851897789531</x:v>
      </x:c>
      <x:c r="H49" s="257" t="n">
        <x:f>E49/C49</x:f>
        <x:v>0.19692640692640692</x:v>
      </x:c>
      <x:c r="I49" s="258" t="n">
        <x:f>(H49-VLOOKUP($B49,'Données'!$A$15:$M$23,7,0)/VLOOKUP($B49,'Données'!$A$15:$M$23,4,0))*100</x:f>
        <x:v>0.8025323448694249</x:v>
      </x:c>
      <x:c r="J49" s="259" t="n">
        <x:f>VLOOKUP($B49,'Données'!$A$15:$M$23,9,0)</x:f>
        <x:v>125</x:v>
      </x:c>
      <x:c r="K49" s="257" t="n">
        <x:f>VLOOKUP($B49,'Données'!$A$15:$M$23,10,0)</x:f>
        <x:v>0.81</x:v>
      </x:c>
      <x:c r="L49" s="259" t="n">
        <x:f>VLOOKUP($B49,'Données'!$A$15:$M$23,13,0)</x:f>
        <x:v>29.320987654320987</x:v>
      </x:c>
      <x:c r="M49" s="257" t="n">
        <x:f>VLOOKUP($B49,'Données'!$A$15:$M$23,11,0)</x:f>
        <x:v>0.81</x:v>
      </x:c>
      <x:c r="N49" s="268" t="str">
        <x:f>IF(OR(H49&lt;0,K49&lt;0.7),"CRITIQUE",IF(H49&lt;0.08,"À REDRESSER",IF(OR(K49&lt;0.8,I49&lt;-1),"SURVEILLANCE","SOLIDE")))</x:f>
        <x:v>SOLIDE</x:v>
      </x:c>
      <x:c r="O49" s="135"/>
    </x:row>
    <x:row r="50" ht="15" customHeight="1">
      <x:c r="A50" s="135"/>
      <x:c r="B50" s="274" t="str">
        <x:v>Tunon</x:v>
      </x:c>
      <x:c r="C50" s="248" t="n">
        <x:f>SUMIF('Données'!$B$15:$B$23,$B50,'Données'!$E$15:$E$23)</x:f>
        <x:v>1847900</x:v>
      </x:c>
      <x:c r="D50" s="249" t="n">
        <x:f>C50/SUMIF('Données'!$B$15:$B$23,$B50,'Données'!$D$15:$D$23)-1</x:f>
        <x:v>0.01910090361861072</x:v>
      </x:c>
      <x:c r="E50" s="250" t="n">
        <x:f>SUMIF('Données'!$B$15:$B$23,$B50,'Données'!$H$15:$H$23)</x:f>
        <x:v>73900</x:v>
      </x:c>
      <x:c r="F50" s="250" t="n">
        <x:f>E50-SUMIF('Données'!$B$15:$B$23,$B50,'Données'!$G$15:$G$23)</x:f>
        <x:v>-20120</x:v>
      </x:c>
      <x:c r="G50" s="251" t="n">
        <x:f>E50/$E$39</x:f>
        <x:v>0.01921581781636543</x:v>
      </x:c>
      <x:c r="H50" s="251" t="n">
        <x:f>E50/C50</x:f>
        <x:v>0.03999134152280968</x:v>
      </x:c>
      <x:c r="I50" s="252" t="n">
        <x:f>(H50-SUMIF('Données'!$B$15:$B$23,$B50,'Données'!$G$15:$G$23)/SUMIF('Données'!$B$15:$B$23,$B50,'Données'!$D$15:$D$23))*100</x:f>
        <x:v>-1.1859877135246368</x:v>
      </x:c>
      <x:c r="J50" s="253" t="n">
        <x:f>SUMIF('Données'!$B$15:$B$23,$B50,'Données'!$I$15:$I$23)</x:f>
        <x:v>108</x:v>
      </x:c>
      <x:c r="K50" s="251" t="n">
        <x:f>J50/SUMIF('Données'!$B$15:$B$23,$B50,'Données'!$L$15:$L$23)</x:f>
        <x:v>0.736275115919629</x:v>
      </x:c>
      <x:c r="L50" s="253" t="n">
        <x:f>SUMIF('Données'!$B$15:$B$23,$B50,'Données'!$M$15:$M$23)</x:f>
        <x:v>38.68430001889287</x:v>
      </x:c>
      <x:c r="M50" s="251" t="n">
        <x:f>SUMPRODUCT(('Données'!$B$15:$B$23=$B50)*'Données'!$I$15:$I$23*'Données'!$K$15:$K$23)/J50</x:f>
        <x:v>0.6955555555555556</x:v>
      </x:c>
      <x:c r="N50" s="267" t="str">
        <x:f>IF(OR(H50&lt;0,K50&lt;0.7),"CRITIQUE",IF(H50&lt;0.08,"À REDRESSER",IF(OR(K50&lt;0.8,I50&lt;-1),"SURVEILLANCE","SOLIDE")))</x:f>
        <x:v>À REDRESSER</x:v>
      </x:c>
      <x:c r="O50" s="135"/>
    </x:row>
    <x:row r="51" ht="15" customHeight="1">
      <x:c r="A51" s="135"/>
      <x:c r="B51" s="275" t="str">
        <x:v>TUNON_PAR</x:v>
      </x:c>
      <x:c r="C51" s="254" t="n">
        <x:f>VLOOKUP($B51,'Données'!$A$15:$M$23,5,0)</x:f>
        <x:v>1102400</x:v>
      </x:c>
      <x:c r="D51" s="255" t="n">
        <x:f>C51/VLOOKUP($B51,'Données'!$A$15:$M$23,4,0)-1</x:f>
        <x:v>0.031000146831479558</x:v>
      </x:c>
      <x:c r="E51" s="256" t="n">
        <x:f>VLOOKUP($B51,'Données'!$A$15:$M$23,8,0)</x:f>
        <x:v>96300</x:v>
      </x:c>
      <x:c r="F51" s="256" t="n">
        <x:f>E51-VLOOKUP($B51,'Données'!$A$15:$M$23,7,0)</x:f>
        <x:v>-10500</x:v>
      </x:c>
      <x:c r="G51" s="257" t="n">
        <x:f>E51/$E$39</x:f>
        <x:v>0.02504036881889027</x:v>
      </x:c>
      <x:c r="H51" s="257" t="n">
        <x:f>E51/C51</x:f>
        <x:v>0.08735486211901307</x:v>
      </x:c>
      <x:c r="I51" s="258" t="n">
        <x:f>(H51-VLOOKUP($B51,'Données'!$A$15:$M$23,7,0)/VLOOKUP($B51,'Données'!$A$15:$M$23,4,0))*100</x:f>
        <x:v>-1.2527953267055525</x:v>
      </x:c>
      <x:c r="J51" s="259" t="n">
        <x:f>VLOOKUP($B51,'Données'!$A$15:$M$23,9,0)</x:f>
        <x:v>64</x:v>
      </x:c>
      <x:c r="K51" s="257" t="n">
        <x:f>VLOOKUP($B51,'Données'!$A$15:$M$23,10,0)</x:f>
        <x:v>0.79</x:v>
      </x:c>
      <x:c r="L51" s="259" t="n">
        <x:f>VLOOKUP($B51,'Données'!$A$15:$M$23,13,0)</x:f>
        <x:v>17.012658227848092</x:v>
      </x:c>
      <x:c r="M51" s="257" t="n">
        <x:f>VLOOKUP($B51,'Données'!$A$15:$M$23,11,0)</x:f>
        <x:v>0.72</x:v>
      </x:c>
      <x:c r="N51" s="268" t="str">
        <x:f>IF(OR(H51&lt;0,K51&lt;0.7),"CRITIQUE",IF(H51&lt;0.08,"À REDRESSER",IF(OR(K51&lt;0.8,I51&lt;-1),"SURVEILLANCE","SOLIDE")))</x:f>
        <x:v>SURVEILLANCE</x:v>
      </x:c>
      <x:c r="O51" s="135"/>
    </x:row>
    <x:row r="52" ht="15" customHeight="1">
      <x:c r="A52" s="135"/>
      <x:c r="B52" s="276" t="str">
        <x:v>TUNON_LYO</x:v>
      </x:c>
      <x:c r="C52" s="260" t="n">
        <x:f>VLOOKUP($B52,'Données'!$A$15:$M$23,5,0)</x:f>
        <x:v>745500</x:v>
      </x:c>
      <x:c r="D52" s="261" t="n">
        <x:f>C52/VLOOKUP($B52,'Données'!$A$15:$M$23,4,0)-1</x:f>
        <x:v>0.0019999677424558104</x:v>
      </x:c>
      <x:c r="E52" s="262" t="n">
        <x:f>VLOOKUP($B52,'Données'!$A$15:$M$23,8,0)</x:f>
        <x:v>-22400</x:v>
      </x:c>
      <x:c r="F52" s="262" t="n">
        <x:f>E52-VLOOKUP($B52,'Données'!$A$15:$M$23,7,0)</x:f>
        <x:v>-9620</x:v>
      </x:c>
      <x:c r="G52" s="263" t="n">
        <x:f>E52/$E$39</x:f>
        <x:v>-0.005824551002524839</x:v>
      </x:c>
      <x:c r="H52" s="263" t="n">
        <x:f>E52/C52</x:f>
        <x:v>-0.03004694835680751</x:v>
      </x:c>
      <x:c r="I52" s="264" t="n">
        <x:f>(H52-VLOOKUP($B52,'Données'!$A$15:$M$23,7,0)/VLOOKUP($B52,'Données'!$A$15:$M$23,4,0))*100</x:f>
        <x:v>-1.2869806052651127</x:v>
      </x:c>
      <x:c r="J52" s="265" t="n">
        <x:f>VLOOKUP($B52,'Données'!$A$15:$M$23,9,0)</x:f>
        <x:v>44</x:v>
      </x:c>
      <x:c r="K52" s="263" t="n">
        <x:f>VLOOKUP($B52,'Données'!$A$15:$M$23,10,0)</x:f>
        <x:v>0.67</x:v>
      </x:c>
      <x:c r="L52" s="265" t="n">
        <x:f>VLOOKUP($B52,'Données'!$A$15:$M$23,13,0)</x:f>
        <x:v>21.671641791044777</x:v>
      </x:c>
      <x:c r="M52" s="263" t="n">
        <x:f>VLOOKUP($B52,'Données'!$A$15:$M$23,11,0)</x:f>
        <x:v>0.66</x:v>
      </x:c>
      <x:c r="N52" s="269" t="str">
        <x:f>IF(OR(H52&lt;0,K52&lt;0.7),"CRITIQUE",IF(H52&lt;0.08,"À REDRESSER",IF(OR(K52&lt;0.8,I52&lt;-1),"SURVEILLANCE","SOLIDE")))</x:f>
        <x:v>CRITIQUE</x:v>
      </x:c>
      <x:c r="O52" s="135"/>
    </x:row>
    <x:row r="53" ht="6" customHeight="1">
      <x:c r="A53" s="135"/>
      <x:c r="B53" s="135"/>
      <x:c r="C53" s="135"/>
      <x:c r="D53" s="135"/>
      <x:c r="E53" s="135"/>
      <x:c r="F53" s="135"/>
      <x:c r="G53" s="135"/>
      <x:c r="H53" s="135"/>
      <x:c r="I53" s="135"/>
      <x:c r="J53" s="135"/>
      <x:c r="K53" s="135"/>
      <x:c r="L53" s="135"/>
      <x:c r="M53" s="135"/>
      <x:c r="N53" s="135"/>
      <x:c r="O53" s="135"/>
    </x:row>
    <x:row r="54" ht="20" customHeight="1">
      <x:c r="A54" s="135"/>
      <x:c r="B54" s="271" t="str">
        <x:v>* Places libres estimées = capacité théorique (inscrits ÷ remplissage) − inscrits. À rapprocher du nombre réel de classes et de leur capacité.</x:v>
      </x:c>
      <x:c r="C54" s="271"/>
      <x:c r="D54" s="271"/>
      <x:c r="E54" s="271"/>
      <x:c r="F54" s="271"/>
      <x:c r="G54" s="271"/>
      <x:c r="H54" s="271"/>
      <x:c r="I54" s="271"/>
      <x:c r="J54" s="271"/>
      <x:c r="K54" s="271"/>
      <x:c r="L54" s="271"/>
      <x:c r="M54" s="271"/>
      <x:c r="N54" s="271"/>
      <x:c r="O54" s="135"/>
    </x:row>
    <x:row r="55" ht="20" customHeight="1">
      <x:c r="A55" s="135"/>
      <x:c r="B55" s="271" t="str">
        <x:v>Source : socle CRM et comptabilité rapprochés · vues V_COCKPIT / V_MOTEUR_CAL / V_ALLOCATION · montants 2026, variation vs 2025.</x:v>
      </x:c>
      <x:c r="C55" s="271"/>
      <x:c r="D55" s="271"/>
      <x:c r="E55" s="271"/>
      <x:c r="F55" s="271"/>
      <x:c r="G55" s="271"/>
      <x:c r="H55" s="271"/>
      <x:c r="I55" s="271"/>
      <x:c r="J55" s="271"/>
      <x:c r="K55" s="271"/>
      <x:c r="L55" s="271"/>
      <x:c r="M55" s="271"/>
      <x:c r="N55" s="271"/>
      <x:c r="O55" s="135"/>
    </x:row>
    <x:row r="56" ht="19" customHeight="1">
      <x:c r="A56" s="135"/>
      <x:c r="B56" s="295" t="str">
        <x:v>Lecture complémentaire : l’onglet « Matrice campus » positionne chaque campus par rapport aux benchmarks de marge et de remplissage du Groupe.</x:v>
      </x:c>
      <x:c r="C56" s="295"/>
      <x:c r="D56" s="295"/>
      <x:c r="E56" s="295"/>
      <x:c r="F56" s="295"/>
      <x:c r="G56" s="295"/>
      <x:c r="H56" s="295"/>
      <x:c r="I56" s="295"/>
      <x:c r="J56" s="295"/>
      <x:c r="K56" s="295"/>
      <x:c r="L56" s="295"/>
      <x:c r="M56" s="295"/>
      <x:c r="N56" s="295"/>
      <x:c r="O56" s="135"/>
    </x:row>
    <x:row r="57">
      <x:c r="A57" s="135"/>
      <x:c r="B57" s="135"/>
      <x:c r="C57" s="135"/>
      <x:c r="D57" s="135"/>
      <x:c r="E57" s="135"/>
      <x:c r="F57" s="135"/>
      <x:c r="G57" s="135"/>
      <x:c r="H57" s="135"/>
      <x:c r="I57" s="135"/>
      <x:c r="J57" s="135"/>
      <x:c r="K57" s="135"/>
      <x:c r="L57" s="135"/>
      <x:c r="M57" s="135"/>
      <x:c r="N57" s="135"/>
      <x:c r="O57" s="135"/>
    </x:row>
    <x:row r="58">
      <x:c r="A58" s="135"/>
      <x:c r="B58" s="135"/>
      <x:c r="C58" s="135"/>
      <x:c r="D58" s="135"/>
      <x:c r="E58" s="135"/>
      <x:c r="F58" s="135"/>
      <x:c r="G58" s="135"/>
      <x:c r="H58" s="135"/>
      <x:c r="I58" s="135"/>
      <x:c r="J58" s="135"/>
      <x:c r="K58" s="135"/>
      <x:c r="L58" s="135"/>
      <x:c r="M58" s="135"/>
      <x:c r="N58" s="135"/>
      <x:c r="O58" s="135"/>
    </x:row>
    <x:row r="59">
      <x:c r="A59" s="135"/>
      <x:c r="B59" s="135"/>
      <x:c r="C59" s="135"/>
      <x:c r="D59" s="135"/>
      <x:c r="E59" s="135"/>
      <x:c r="F59" s="135"/>
      <x:c r="G59" s="135"/>
      <x:c r="H59" s="135"/>
      <x:c r="I59" s="135"/>
      <x:c r="J59" s="135"/>
      <x:c r="K59" s="135"/>
      <x:c r="L59" s="135"/>
      <x:c r="M59" s="135"/>
      <x:c r="N59" s="135"/>
      <x:c r="O59" s="135"/>
    </x:row>
    <x:row r="60">
      <x:c r="A60" s="135"/>
      <x:c r="B60" s="135"/>
      <x:c r="C60" s="135"/>
      <x:c r="D60" s="135"/>
      <x:c r="E60" s="135"/>
      <x:c r="F60" s="135"/>
      <x:c r="G60" s="135"/>
      <x:c r="H60" s="135"/>
      <x:c r="I60" s="135"/>
      <x:c r="J60" s="135"/>
      <x:c r="K60" s="135"/>
      <x:c r="L60" s="135"/>
      <x:c r="M60" s="135"/>
      <x:c r="N60" s="135"/>
      <x:c r="O60" s="135"/>
    </x:row>
  </x:sheetData>
  <x:mergeCells>
    <x:mergeCell ref="B2:N2"/>
    <x:mergeCell ref="B3:K3"/>
    <x:mergeCell ref="L3:N3"/>
    <x:mergeCell ref="B7:C7"/>
    <x:mergeCell ref="B8:C8"/>
    <x:mergeCell ref="B9:C9"/>
    <x:mergeCell ref="B10:C10"/>
    <x:mergeCell ref="D7:E7"/>
    <x:mergeCell ref="D8:E8"/>
    <x:mergeCell ref="D9:E9"/>
    <x:mergeCell ref="D10:E10"/>
    <x:mergeCell ref="F7:G7"/>
    <x:mergeCell ref="F8:G8"/>
    <x:mergeCell ref="F9:G9"/>
    <x:mergeCell ref="F10:G10"/>
    <x:mergeCell ref="H7:I7"/>
    <x:mergeCell ref="H8:I8"/>
    <x:mergeCell ref="H9:I9"/>
    <x:mergeCell ref="H10:I10"/>
    <x:mergeCell ref="J7:K7"/>
    <x:mergeCell ref="J8:K8"/>
    <x:mergeCell ref="J9:K9"/>
    <x:mergeCell ref="J10:K10"/>
    <x:mergeCell ref="L7:M7"/>
    <x:mergeCell ref="L8:M8"/>
    <x:mergeCell ref="L9:M9"/>
    <x:mergeCell ref="L10:M10"/>
    <x:mergeCell ref="B29:N29"/>
    <x:mergeCell ref="B30:C30"/>
    <x:mergeCell ref="D30:G30"/>
    <x:mergeCell ref="H30:I30"/>
    <x:mergeCell ref="J30:N30"/>
    <x:mergeCell ref="B31:C31"/>
    <x:mergeCell ref="D31:G31"/>
    <x:mergeCell ref="H31:I31"/>
    <x:mergeCell ref="J31:N31"/>
    <x:mergeCell ref="B32:C32"/>
    <x:mergeCell ref="D32:G32"/>
    <x:mergeCell ref="H32:I32"/>
    <x:mergeCell ref="J32:N32"/>
    <x:mergeCell ref="B33:C33"/>
    <x:mergeCell ref="D33:G33"/>
    <x:mergeCell ref="H33:I33"/>
    <x:mergeCell ref="J33:N33"/>
    <x:mergeCell ref="B34:C34"/>
    <x:mergeCell ref="D34:G34"/>
    <x:mergeCell ref="H34:I34"/>
    <x:mergeCell ref="J34:N34"/>
    <x:mergeCell ref="B37:N37"/>
    <x:mergeCell ref="B54:N54"/>
    <x:mergeCell ref="B55:N55"/>
    <x:mergeCell ref="B1:D1"/>
    <x:mergeCell ref="E1:G1"/>
    <x:mergeCell ref="H1:J1"/>
    <x:mergeCell ref="K1:M1"/>
    <x:mergeCell ref="B56:N56"/>
  </x:mergeCells>
  <x:conditionalFormatting sqref="B9:B9">
    <x:cfRule type="cellIs" dxfId="19" priority="1" operator="greaterThan">
      <x:formula>0</x:formula>
    </x:cfRule>
    <x:cfRule type="cellIs" dxfId="18" priority="2" operator="lessThan">
      <x:formula>0</x:formula>
    </x:cfRule>
  </x:conditionalFormatting>
  <x:conditionalFormatting sqref="D9:D9">
    <x:cfRule type="cellIs" dxfId="17" priority="3" operator="greaterThan">
      <x:formula>0</x:formula>
    </x:cfRule>
    <x:cfRule type="cellIs" dxfId="16" priority="4" operator="lessThan">
      <x:formula>0</x:formula>
    </x:cfRule>
  </x:conditionalFormatting>
  <x:conditionalFormatting sqref="D35:D48">
    <x:cfRule type="cellIs" dxfId="15" priority="15" operator="greaterThan">
      <x:formula>0</x:formula>
    </x:cfRule>
    <x:cfRule type="cellIs" dxfId="14" priority="16" operator="lessThan">
      <x:formula>0</x:formula>
    </x:cfRule>
  </x:conditionalFormatting>
  <x:conditionalFormatting sqref="F9:F9">
    <x:cfRule type="cellIs" dxfId="13" priority="5" operator="greaterThan">
      <x:formula>0</x:formula>
    </x:cfRule>
    <x:cfRule type="cellIs" dxfId="12" priority="6" operator="lessThan">
      <x:formula>0</x:formula>
    </x:cfRule>
  </x:conditionalFormatting>
  <x:conditionalFormatting sqref="F35:F48">
    <x:cfRule type="cellIs" dxfId="11" priority="17" operator="greaterThan">
      <x:formula>0</x:formula>
    </x:cfRule>
    <x:cfRule type="cellIs" dxfId="10" priority="18" operator="lessThan">
      <x:formula>0</x:formula>
    </x:cfRule>
  </x:conditionalFormatting>
  <x:conditionalFormatting sqref="H9:H9">
    <x:cfRule type="cellIs" dxfId="9" priority="7" operator="greaterThan">
      <x:formula>0</x:formula>
    </x:cfRule>
    <x:cfRule type="cellIs" dxfId="8" priority="8" operator="lessThan">
      <x:formula>0</x:formula>
    </x:cfRule>
  </x:conditionalFormatting>
  <x:conditionalFormatting sqref="H35:H48">
    <x:cfRule type="dataBar" priority="14">
      <x:dataBar>
        <x:cfvo type="num" val="0"/>
        <x:cfvo type="num" val="0.22"/>
        <x:color rgb="FF2A78D6"/>
      </x:dataBar>
    </x:cfRule>
  </x:conditionalFormatting>
  <x:conditionalFormatting sqref="I35:I48">
    <x:cfRule type="cellIs" dxfId="7" priority="19" operator="greaterThan">
      <x:formula>0</x:formula>
    </x:cfRule>
    <x:cfRule type="cellIs" dxfId="6" priority="20" operator="lessThan">
      <x:formula>0</x:formula>
    </x:cfRule>
  </x:conditionalFormatting>
  <x:conditionalFormatting sqref="J9:J9">
    <x:cfRule type="cellIs" dxfId="5" priority="9" operator="greaterThan">
      <x:formula>0</x:formula>
    </x:cfRule>
    <x:cfRule type="cellIs" dxfId="4" priority="10" operator="lessThan">
      <x:formula>0</x:formula>
    </x:cfRule>
    <x:cfRule type="cellIs" dxfId="3" priority="13" operator="greaterThan">
      <x:formula>0</x:formula>
    </x:cfRule>
  </x:conditionalFormatting>
  <x:conditionalFormatting sqref="K35:K48">
    <x:cfRule type="cellIs" dxfId="2" priority="21" operator="lessThan">
      <x:formula>0.75</x:formula>
    </x:cfRule>
  </x:conditionalFormatting>
  <x:conditionalFormatting sqref="L9:L9">
    <x:cfRule type="cellIs" dxfId="1" priority="11" operator="greaterThan">
      <x:formula>0</x:formula>
    </x:cfRule>
    <x:cfRule type="cellIs" dxfId="0" priority="12" operator="lessThan">
      <x:formula>0</x:formula>
    </x:cfRule>
  </x:conditionalFormatting>
  <x:conditionalFormatting sqref="D39:D52">
    <x:cfRule type="cellIs" dxfId="20" priority="22" operator="lessThan">
      <x:formula>0</x:formula>
    </x:cfRule>
    <x:cfRule type="cellIs" dxfId="21" priority="23" operator="greaterThanOrEqual">
      <x:formula>0</x:formula>
    </x:cfRule>
  </x:conditionalFormatting>
  <x:conditionalFormatting sqref="F39:F52">
    <x:cfRule type="cellIs" dxfId="22" priority="24" operator="lessThan">
      <x:formula>0</x:formula>
    </x:cfRule>
    <x:cfRule type="cellIs" dxfId="23" priority="25" operator="greaterThanOrEqual">
      <x:formula>0</x:formula>
    </x:cfRule>
  </x:conditionalFormatting>
  <x:conditionalFormatting sqref="I39:I52">
    <x:cfRule type="cellIs" dxfId="24" priority="26" operator="lessThan">
      <x:formula>0</x:formula>
    </x:cfRule>
    <x:cfRule type="cellIs" dxfId="25" priority="27" operator="greaterThanOrEqual">
      <x:formula>0</x:formula>
    </x:cfRule>
  </x:conditionalFormatting>
  <x:conditionalFormatting sqref="K39:K52">
    <x:cfRule type="cellIs" dxfId="26" priority="28" operator="lessThan">
      <x:formula>0.75</x:formula>
    </x:cfRule>
    <x:cfRule type="cellIs" dxfId="27" priority="29" operator="between">
      <x:formula>0.75</x:formula>
      <x:formula>0.849999</x:formula>
    </x:cfRule>
  </x:conditionalFormatting>
  <x:conditionalFormatting sqref="N39:N52">
    <x:cfRule type="containsText" dxfId="28" priority="30" operator="containsText" text="CRITIQUE"/>
    <x:cfRule type="containsText" dxfId="29" priority="31" operator="containsText" text="REDRESSER"/>
    <x:cfRule type="containsText" dxfId="30" priority="32" operator="containsText" text="SURVEILLANCE"/>
    <x:cfRule type="containsText" dxfId="31" priority="33" operator="containsText" text="SOLIDE"/>
  </x:conditionalFormatting>
  <x:pageMargins left="0.7" right="0.7" top="0.75" bottom="0.75" header="0.3" footer="0.3"/>
  <x:drawing xmlns:r="http://schemas.openxmlformats.org/officeDocument/2006/relationships" r:id="R4b8b4f7673174e2c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4" hidden="0" customWidth="1"/>
  </x:cols>
  <x:sheetData>
    <x:row r="1" ht="30" customHeight="1">
      <x:c r="A1" s="278" t="str">
        <x:v>CONTRÔLES DU MODÈLE — piste d'audit CFO</x:v>
      </x:c>
      <x:c r="B1" s="278"/>
      <x:c r="C1" s="278"/>
      <x:c r="D1" s="278"/>
      <x:c r="E1" s="278"/>
      <x:c r="F1" s="278"/>
    </x:row>
    <x:row r="2">
      <x:c r="A2" s="139"/>
      <x:c r="B2" s="139"/>
      <x:c r="C2" s="139"/>
      <x:c r="D2" s="139"/>
      <x:c r="E2" s="139"/>
      <x:c r="F2" s="139"/>
    </x:row>
    <x:row r="3">
      <x:c r="A3" s="279" t="str">
        <x:v>MODEL STATUS</x:v>
      </x:c>
      <x:c r="B3" s="279" t="str">
        <x:f>IF(COUNTIF(E6:E15,"FAIL")=0,"PASS","FAIL")</x:f>
        <x:v>PASS</x:v>
      </x:c>
      <x:c r="C3" s="139"/>
      <x:c r="D3" s="139"/>
      <x:c r="E3" s="139"/>
      <x:c r="F3" s="139"/>
    </x:row>
    <x:row r="4">
      <x:c r="A4" s="139"/>
      <x:c r="B4" s="139"/>
      <x:c r="C4" s="139"/>
      <x:c r="D4" s="139"/>
      <x:c r="E4" s="139"/>
      <x:c r="F4" s="139"/>
    </x:row>
    <x:row r="5">
      <x:c r="A5" s="109" t="str">
        <x:v>Contrôle</x:v>
      </x:c>
      <x:c r="B5" s="109" t="str">
        <x:v>Mesure A</x:v>
      </x:c>
      <x:c r="C5" s="109" t="str">
        <x:v>Mesure B</x:v>
      </x:c>
      <x:c r="D5" s="109" t="str">
        <x:v>Écart</x:v>
      </x:c>
      <x:c r="E5" s="109" t="str">
        <x:v>Statut</x:v>
      </x:c>
      <x:c r="F5" s="139"/>
    </x:row>
    <x:row r="6">
      <x:c r="A6" s="139" t="str">
        <x:v>CA 2026 : total groupe = somme campus</x:v>
      </x:c>
      <x:c r="B6" s="281" t="n">
        <x:f>'Données'!E24</x:f>
        <x:v>23098985</x:v>
      </x:c>
      <x:c r="C6" s="281" t="n">
        <x:f>SUM('Données'!E15:E23)</x:f>
        <x:v>23098985</x:v>
      </x:c>
      <x:c r="D6" s="281" t="n">
        <x:f>B6-C6</x:f>
        <x:v>0</x:v>
      </x:c>
      <x:c r="E6" s="283" t="str">
        <x:f>IF(ABS(D6)&lt;1,"PASS","FAIL")</x:f>
        <x:v>PASS</x:v>
      </x:c>
      <x:c r="F6" s="139"/>
    </x:row>
    <x:row r="7">
      <x:c r="A7" s="139" t="str">
        <x:v>EBITDA 2026 : total groupe = somme campus</x:v>
      </x:c>
      <x:c r="B7" s="281" t="n">
        <x:f>'Données'!H24</x:f>
        <x:v>3845790</x:v>
      </x:c>
      <x:c r="C7" s="281" t="n">
        <x:f>SUM('Données'!H15:H23)</x:f>
        <x:v>3845790</x:v>
      </x:c>
      <x:c r="D7" s="281" t="n">
        <x:f>B7-C7</x:f>
        <x:v>0</x:v>
      </x:c>
      <x:c r="E7" s="283" t="str">
        <x:f>IF(ABS(D7)&lt;1,"PASS","FAIL")</x:f>
        <x:v>PASS</x:v>
      </x:c>
      <x:c r="F7" s="139"/>
    </x:row>
    <x:row r="8">
      <x:c r="A8" s="139" t="str">
        <x:v>Nouveaux inscrits : total groupe = somme campus</x:v>
      </x:c>
      <x:c r="B8" s="281" t="n">
        <x:f>'Données'!I24</x:f>
        <x:v>1229</x:v>
      </x:c>
      <x:c r="C8" s="281" t="n">
        <x:f>SUM('Données'!I15:I23)</x:f>
        <x:v>1229</x:v>
      </x:c>
      <x:c r="D8" s="281" t="n">
        <x:f>B8-C8</x:f>
        <x:v>0</x:v>
      </x:c>
      <x:c r="E8" s="283" t="str">
        <x:f>IF(ABS(D8)&lt;1,"PASS","FAIL")</x:f>
        <x:v>PASS</x:v>
      </x:c>
      <x:c r="F8" s="139"/>
    </x:row>
    <x:row r="9">
      <x:c r="A9" s="139" t="str">
        <x:v>CA 2026 : somme marques = total groupe</x:v>
      </x:c>
      <x:c r="B9" s="281" t="n">
        <x:f>SUM('Données'!D42:D45)</x:f>
        <x:v>23098985</x:v>
      </x:c>
      <x:c r="C9" s="281" t="n">
        <x:f>'Données'!E24</x:f>
        <x:v>23098985</x:v>
      </x:c>
      <x:c r="D9" s="281" t="n">
        <x:f>B9-C9</x:f>
        <x:v>0</x:v>
      </x:c>
      <x:c r="E9" s="283" t="str">
        <x:f>IF(ABS(D9)&lt;1,"PASS","FAIL")</x:f>
        <x:v>PASS</x:v>
      </x:c>
      <x:c r="F9" s="139"/>
    </x:row>
    <x:row r="10">
      <x:c r="A10" s="139" t="str">
        <x:v>EBITDA 2026 : somme marques = total groupe</x:v>
      </x:c>
      <x:c r="B10" s="281" t="n">
        <x:f>SUM('Données'!G42:G45)</x:f>
        <x:v>3845790</x:v>
      </x:c>
      <x:c r="C10" s="281" t="n">
        <x:f>'Données'!H24</x:f>
        <x:v>3845790</x:v>
      </x:c>
      <x:c r="D10" s="281" t="n">
        <x:f>B10-C10</x:f>
        <x:v>0</x:v>
      </x:c>
      <x:c r="E10" s="283" t="str">
        <x:f>IF(ABS(D10)&lt;1,"PASS","FAIL")</x:f>
        <x:v>PASS</x:v>
      </x:c>
      <x:c r="F10" s="139"/>
    </x:row>
    <x:row r="11">
      <x:c r="A11" s="139" t="str">
        <x:v>Bridge EBITDA : départ + effets = arrivée</x:v>
      </x:c>
      <x:c r="B11" s="281" t="n">
        <x:f>'Données'!B34+'Données'!B35+'Données'!B36+'Données'!B37</x:f>
        <x:v>3845790</x:v>
      </x:c>
      <x:c r="C11" s="281" t="n">
        <x:f>'Données'!B38</x:f>
        <x:v>3845790</x:v>
      </x:c>
      <x:c r="D11" s="281" t="n">
        <x:f>B11-C11</x:f>
        <x:v>0</x:v>
      </x:c>
      <x:c r="E11" s="283" t="str">
        <x:f>IF(ABS(D11)&lt;1,"PASS","FAIL")</x:f>
        <x:v>PASS</x:v>
      </x:c>
      <x:c r="F11" s="139"/>
    </x:row>
    <x:row r="12">
      <x:c r="A12" s="280" t="str">
        <x:v>Taux de remplissage campus compris entre 0 et 100 %</x:v>
      </x:c>
      <x:c r="B12" s="282" t="n">
        <x:f>MIN('Données'!J15:J23)</x:f>
        <x:v>0.67</x:v>
      </x:c>
      <x:c r="C12" s="282" t="n">
        <x:f>MAX('Données'!J15:J23)</x:f>
        <x:v>0.94</x:v>
      </x:c>
      <x:c r="D12" s="280" t="n">
        <x:f>0</x:f>
        <x:v>0</x:v>
      </x:c>
      <x:c r="E12" s="284" t="str">
        <x:f>IF(AND(B12&gt;0,C12&lt;=1),"PASS","FAIL")</x:f>
        <x:v>PASS</x:v>
      </x:c>
      <x:c r="F12" s="139"/>
    </x:row>
    <x:row r="13">
      <x:c r="A13" s="678" t="str">
        <x:v>Matrice campus : 9 campus attendus</x:v>
      </x:c>
      <x:c r="B13" s="680" t="n">
        <x:f>COUNTA('Matrice campus'!B36:B44)</x:f>
        <x:v>9</x:v>
      </x:c>
      <x:c r="C13" s="680" t="n">
        <x:f>9</x:f>
        <x:v>9</x:v>
      </x:c>
      <x:c r="D13" s="680" t="n">
        <x:f>B13-C13</x:f>
        <x:v>0</x:v>
      </x:c>
      <x:c r="E13" s="683" t="str">
        <x:f>IF(D13=0,"PASS","FAIL")</x:f>
        <x:v>PASS</x:v>
      </x:c>
      <x:c r="F13"/>
    </x:row>
    <x:row r="14">
      <x:c r="A14" s="678" t="str">
        <x:v>CA Matrice campus = total Groupe</x:v>
      </x:c>
      <x:c r="B14" s="681" t="n">
        <x:f>SUM('Matrice campus'!D36:D44)</x:f>
        <x:v>23098985</x:v>
      </x:c>
      <x:c r="C14" s="681" t="n">
        <x:f>'Données'!E24</x:f>
        <x:v>23098985</x:v>
      </x:c>
      <x:c r="D14" s="681" t="n">
        <x:f>B14-C14</x:f>
        <x:v>0</x:v>
      </x:c>
      <x:c r="E14" s="683" t="str">
        <x:f>IF(ABS(D14)&lt;1,"PASS","FAIL")</x:f>
        <x:v>PASS</x:v>
      </x:c>
      <x:c r="F14"/>
    </x:row>
    <x:row r="15">
      <x:c r="A15" s="679" t="str">
        <x:v>EBITDA Matrice campus = total Groupe</x:v>
      </x:c>
      <x:c r="B15" s="682" t="n">
        <x:f>SUM('Matrice campus'!E36:E44)</x:f>
        <x:v>3845790</x:v>
      </x:c>
      <x:c r="C15" s="682" t="n">
        <x:f>'Données'!H24</x:f>
        <x:v>3845790</x:v>
      </x:c>
      <x:c r="D15" s="682" t="n">
        <x:f>B15-C15</x:f>
        <x:v>0</x:v>
      </x:c>
      <x:c r="E15" s="684" t="str">
        <x:f>IF(ABS(D15)&lt;1,"PASS","FAIL")</x:f>
        <x:v>PASS</x:v>
      </x:c>
      <x:c r="F15"/>
    </x:row>
    <x:row r="16">
      <x:c r="A16"/>
      <x:c r="B16"/>
      <x:c r="C16"/>
      <x:c r="D16"/>
      <x:c r="E16"/>
      <x:c r="F16"/>
    </x:row>
    <x:row r="17">
      <x:c r="A17"/>
      <x:c r="B17"/>
      <x:c r="C17"/>
      <x:c r="D17"/>
      <x:c r="E17"/>
      <x:c r="F17"/>
    </x:row>
    <x:row r="18">
      <x:c r="A18" s="688" t="str">
        <x:v>Interprétation : PASS confirme les rapprochements internes, y compris la couche Dataviz. Il ne remplace pas le contrôle de fraîcheur des extractions CRM/comptables ni la validation des hypothèses de cadrage.</x:v>
      </x:c>
      <x:c r="B18" s="688"/>
      <x:c r="C18" s="688"/>
      <x:c r="D18" s="688"/>
      <x:c r="E18" s="688"/>
      <x:c r="F18" s="688"/>
    </x:row>
    <x:row r="19">
      <x:c r="A19" s="688"/>
      <x:c r="B19" s="688"/>
      <x:c r="C19" s="688"/>
      <x:c r="D19" s="688"/>
      <x:c r="E19" s="688"/>
      <x:c r="F19" s="688"/>
    </x:row>
    <x:row r="20">
      <x:c r="A20"/>
      <x:c r="B20"/>
      <x:c r="C20"/>
      <x:c r="D20"/>
      <x:c r="E20"/>
      <x:c r="F20"/>
    </x:row>
  </x:sheetData>
  <x:mergeCells>
    <x:mergeCell ref="A1:F1"/>
    <x:mergeCell ref="A18:F19"/>
  </x:mergeCells>
  <x:conditionalFormatting sqref="B3:B3">
    <x:cfRule type="containsText" dxfId="32" priority="1" operator="containsText" text="PASS"/>
    <x:cfRule type="containsText" dxfId="33" priority="2" operator="containsText" text="FAIL"/>
  </x:conditionalFormatting>
  <x:conditionalFormatting sqref="E6:E12">
    <x:cfRule type="containsText" dxfId="34" priority="3" operator="containsText" text="PASS"/>
    <x:cfRule type="containsText" dxfId="35" priority="4" operator="containsText" text="FAIL"/>
  </x:conditionalFormatting>
  <x:conditionalFormatting sqref="E13:E15">
    <x:cfRule type="containsText" dxfId="44" priority="5" operator="containsText" text="PASS"/>
    <x:cfRule type="containsText" dxfId="45" priority="6" operator="containsText" text="FAIL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5" hidden="0" customWidth="1"/>
    <x:col min="2" max="2" width="17" hidden="0" customWidth="1"/>
    <x:col min="3" max="3" width="12" hidden="0" customWidth="1"/>
    <x:col min="4" max="4" width="12" hidden="0" customWidth="1"/>
    <x:col min="5" max="5" width="12" hidden="0" customWidth="1"/>
    <x:col min="6" max="6" width="10.5" hidden="0" customWidth="1"/>
    <x:col min="7" max="7" width="10.5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3" hidden="0" customWidth="1"/>
    <x:col min="13" max="13" width="19" hidden="0" customWidth="1"/>
    <x:col min="14" max="14" width="14.5" hidden="0" customWidth="1"/>
    <x:col min="15" max="15" width="11" hidden="0" customWidth="1"/>
    <x:col min="16" max="16" width="9" hidden="0" customWidth="1"/>
    <x:col min="17" max="17" width="9" hidden="0" customWidth="1"/>
    <x:col min="18" max="18" width="2.5" hidden="0" customWidth="1"/>
  </x:cols>
  <x:sheetData>
    <x:row r="1" ht="19" customHeight="1">
      <x:c r="A1" s="297"/>
      <x:c r="B1" s="291" t="str">
        <x:v>← VUE EXÉCUTIVE</x:v>
      </x:c>
      <x:c r="C1" s="291"/>
      <x:c r="D1" s="291"/>
      <x:c r="E1" s="293" t="str">
        <x:v>MATRICE CAMPUS</x:v>
      </x:c>
      <x:c r="F1" s="293"/>
      <x:c r="G1" s="293"/>
      <x:c r="H1" s="291" t="str">
        <x:v>DONNÉES</x:v>
      </x:c>
      <x:c r="I1" s="291"/>
      <x:c r="J1" s="291"/>
      <x:c r="K1" s="291" t="str">
        <x:v>CONTRÔLES</x:v>
      </x:c>
      <x:c r="L1" s="291"/>
      <x:c r="M1" s="291"/>
      <x:c r="N1" s="297"/>
      <x:c r="O1" s="297"/>
      <x:c r="P1" s="297"/>
      <x:c r="Q1" s="297"/>
      <x:c r="R1" s="297"/>
    </x:row>
    <x:row r="2" ht="34" customHeight="1">
      <x:c r="A2" s="297"/>
      <x:c r="B2" s="300" t="str">
        <x:v>Performance map — portefeuille de campus</x:v>
      </x:c>
      <x:c r="C2" s="300"/>
      <x:c r="D2" s="300"/>
      <x:c r="E2" s="300"/>
      <x:c r="F2" s="300"/>
      <x:c r="G2" s="300"/>
      <x:c r="H2" s="300"/>
      <x:c r="I2" s="300"/>
      <x:c r="J2" s="300"/>
      <x:c r="K2" s="300"/>
      <x:c r="L2" s="300"/>
      <x:c r="M2" s="300"/>
      <x:c r="N2" s="300"/>
      <x:c r="O2" s="300"/>
      <x:c r="P2" s="300"/>
      <x:c r="Q2" s="300"/>
      <x:c r="R2" s="297"/>
    </x:row>
    <x:row r="3">
      <x:c r="A3" s="297"/>
      <x:c r="B3" s="303" t="str">
        <x:v>Marge × remplissage × capacité : transformer la donnée en décisions de portefeuille</x:v>
      </x:c>
      <x:c r="C3" s="303"/>
      <x:c r="D3" s="303"/>
      <x:c r="E3" s="303"/>
      <x:c r="F3" s="303"/>
      <x:c r="G3" s="303"/>
      <x:c r="H3" s="303"/>
      <x:c r="I3" s="303"/>
      <x:c r="J3" s="303"/>
      <x:c r="K3" s="303"/>
      <x:c r="L3" s="303"/>
      <x:c r="M3" s="305" t="str">
        <x:v>BENCHMARK = MOYENNE GROUPE</x:v>
      </x:c>
      <x:c r="N3" s="305"/>
      <x:c r="O3" s="305"/>
      <x:c r="P3" s="305"/>
      <x:c r="Q3" s="305"/>
      <x:c r="R3" s="297"/>
    </x:row>
    <x:row r="4">
      <x:c r="A4" s="297"/>
      <x:c r="B4" s="297"/>
      <x:c r="C4" s="297"/>
      <x:c r="D4" s="297"/>
      <x:c r="E4" s="297"/>
      <x:c r="F4" s="297"/>
      <x:c r="G4" s="297"/>
      <x:c r="H4" s="297"/>
      <x:c r="I4" s="297"/>
      <x:c r="J4" s="297"/>
      <x:c r="K4" s="297"/>
      <x:c r="L4" s="297"/>
      <x:c r="M4" s="297"/>
      <x:c r="N4" s="297"/>
      <x:c r="O4" s="297"/>
      <x:c r="P4" s="297"/>
      <x:c r="Q4" s="297"/>
      <x:c r="R4" s="297"/>
    </x:row>
    <x:row r="5" ht="27" customHeight="1">
      <x:c r="A5" s="297"/>
      <x:c r="B5" s="313" t="str">
        <x:v>MARGE GROUPE</x:v>
      </x:c>
      <x:c r="C5" s="319" t="n">
        <x:f>'Cockpit'!H39</x:f>
        <x:v>0.16649173113017737</x:v>
      </x:c>
      <x:c r="D5" s="319" t="str">
        <x:v>REMPLISSAGE GROUPE</x:v>
      </x:c>
      <x:c r="E5" s="319" t="n">
        <x:f>'Cockpit'!K39</x:f>
        <x:v>0.8464821492713306</x:v>
      </x:c>
      <x:c r="F5" s="317" t="str">
        <x:v>RÈGLE DE QUADRANT</x:v>
      </x:c>
      <x:c r="G5" s="317"/>
      <x:c r="H5" s="317"/>
      <x:c r="I5" s="311" t="str">
        <x:v>Chaque campus est comparé au Groupe : moteur, potentiel à remplir, marge à reconstruire ou arbitrage.</x:v>
      </x:c>
      <x:c r="J5" s="311"/>
      <x:c r="K5" s="311"/>
      <x:c r="L5" s="311"/>
      <x:c r="M5" s="311"/>
      <x:c r="N5" s="311"/>
      <x:c r="O5" s="311"/>
      <x:c r="P5" s="311"/>
      <x:c r="Q5" s="312"/>
      <x:c r="R5" s="297"/>
    </x:row>
    <x:row r="6">
      <x:c r="A6" s="297"/>
      <x:c r="B6" s="297"/>
      <x:c r="C6" s="297"/>
      <x:c r="D6" s="297"/>
      <x:c r="E6" s="297"/>
      <x:c r="F6" s="297"/>
      <x:c r="G6" s="297"/>
      <x:c r="H6" s="297"/>
      <x:c r="I6" s="297"/>
      <x:c r="J6" s="297"/>
      <x:c r="K6" s="297"/>
      <x:c r="L6" s="297"/>
      <x:c r="M6" s="297"/>
      <x:c r="N6" s="297"/>
      <x:c r="O6" s="297"/>
      <x:c r="P6" s="297"/>
      <x:c r="Q6" s="297"/>
      <x:c r="R6" s="297"/>
    </x:row>
    <x:row r="7">
      <x:c r="A7" s="297"/>
      <x:c r="B7" s="350" t="str">
        <x:v>CAMPUS MOTEURS</x:v>
      </x:c>
      <x:c r="C7" s="351"/>
      <x:c r="D7" s="352"/>
      <x:c r="E7" s="362" t="str">
        <x:v>POTENTIEL À REMPLIR</x:v>
      </x:c>
      <x:c r="F7" s="363"/>
      <x:c r="G7" s="364"/>
      <x:c r="H7" s="374" t="str">
        <x:v>MARGE À RECONSTRUIRE</x:v>
      </x:c>
      <x:c r="I7" s="375"/>
      <x:c r="J7" s="376"/>
      <x:c r="K7" s="386" t="str">
        <x:v>ARBITRAGES</x:v>
      </x:c>
      <x:c r="L7" s="387"/>
      <x:c r="M7" s="388"/>
      <x:c r="N7" s="398" t="str">
        <x:v>ÉCART EBITDA AU BENCHMARK</x:v>
      </x:c>
      <x:c r="O7" s="399"/>
      <x:c r="P7" s="399"/>
      <x:c r="Q7" s="400"/>
      <x:c r="R7" s="297"/>
    </x:row>
    <x:row r="8">
      <x:c r="A8" s="297"/>
      <x:c r="B8" s="341" t="n">
        <x:f>COUNTIF($M$36:$M$44,"MOTEUR")</x:f>
        <x:v>3</x:v>
      </x:c>
      <x:c r="C8" s="342"/>
      <x:c r="D8" s="343"/>
      <x:c r="E8" s="341" t="n">
        <x:f>COUNTIF($M$36:$M$44,"POTENTIEL À REMPLIR")</x:f>
        <x:v>1</x:v>
      </x:c>
      <x:c r="F8" s="342"/>
      <x:c r="G8" s="343"/>
      <x:c r="H8" s="341" t="n">
        <x:f>COUNTIF($M$36:$M$44,"MARGE À RECONSTRUIRE")</x:f>
        <x:v>1</x:v>
      </x:c>
      <x:c r="I8" s="342"/>
      <x:c r="J8" s="343"/>
      <x:c r="K8" s="341" t="n">
        <x:f>COUNTIF($M$36:$M$44,"ARBITRAGE")</x:f>
        <x:v>4</x:v>
      </x:c>
      <x:c r="L8" s="342"/>
      <x:c r="M8" s="343"/>
      <x:c r="N8" s="401" t="n">
        <x:f>SUM($L$36:$L$44)</x:f>
        <x:v>302544.2317703571</x:v>
      </x:c>
      <x:c r="O8" s="342"/>
      <x:c r="P8" s="342"/>
      <x:c r="Q8" s="343"/>
      <x:c r="R8" s="297"/>
    </x:row>
    <x:row r="9">
      <x:c r="A9" s="297"/>
      <x:c r="B9" s="347" t="str">
        <x:v>campus</x:v>
      </x:c>
      <x:c r="C9" s="348"/>
      <x:c r="D9" s="349"/>
      <x:c r="E9" s="347" t="str">
        <x:v>campus</x:v>
      </x:c>
      <x:c r="F9" s="348"/>
      <x:c r="G9" s="349"/>
      <x:c r="H9" s="347" t="str">
        <x:v>campus</x:v>
      </x:c>
      <x:c r="I9" s="348"/>
      <x:c r="J9" s="349"/>
      <x:c r="K9" s="347" t="str">
        <x:v>campus</x:v>
      </x:c>
      <x:c r="L9" s="348"/>
      <x:c r="M9" s="349"/>
      <x:c r="N9" s="347" t="str">
        <x:v>potentiel théorique</x:v>
      </x:c>
      <x:c r="O9" s="348"/>
      <x:c r="P9" s="348"/>
      <x:c r="Q9" s="349"/>
      <x:c r="R9" s="297"/>
    </x:row>
    <x:row r="10">
      <x:c r="A10" s="297"/>
      <x:c r="B10" s="326"/>
      <x:c r="C10" s="327"/>
      <x:c r="D10" s="328"/>
      <x:c r="E10" s="326"/>
      <x:c r="F10" s="327"/>
      <x:c r="G10" s="328"/>
      <x:c r="H10" s="326"/>
      <x:c r="I10" s="327"/>
      <x:c r="J10" s="328"/>
      <x:c r="K10" s="326"/>
      <x:c r="L10" s="327"/>
      <x:c r="M10" s="328"/>
      <x:c r="N10" s="326"/>
      <x:c r="O10" s="327"/>
      <x:c r="P10" s="327"/>
      <x:c r="Q10" s="328"/>
      <x:c r="R10" s="297"/>
    </x:row>
    <x:row r="11">
      <x:c r="A11" s="297"/>
      <x:c r="B11" s="297"/>
      <x:c r="C11" s="297"/>
      <x:c r="D11" s="297"/>
      <x:c r="E11" s="297"/>
      <x:c r="F11" s="297"/>
      <x:c r="G11" s="297"/>
      <x:c r="H11" s="297"/>
      <x:c r="I11" s="297"/>
      <x:c r="J11" s="297"/>
      <x:c r="K11" s="297"/>
      <x:c r="L11" s="297"/>
      <x:c r="M11" s="297"/>
      <x:c r="N11" s="297"/>
      <x:c r="O11" s="297"/>
      <x:c r="P11" s="297"/>
      <x:c r="Q11" s="297"/>
      <x:c r="R11" s="297"/>
    </x:row>
    <x:row r="12">
      <x:c r="A12" s="297"/>
      <x:c r="B12" s="297"/>
      <x:c r="C12" s="297"/>
      <x:c r="D12" s="297"/>
      <x:c r="E12" s="297"/>
      <x:c r="F12" s="297"/>
      <x:c r="G12" s="297"/>
      <x:c r="H12" s="297"/>
      <x:c r="I12" s="297"/>
      <x:c r="J12" s="297"/>
      <x:c r="K12" s="297"/>
      <x:c r="L12" s="297"/>
      <x:c r="M12" s="297"/>
      <x:c r="N12" s="297"/>
      <x:c r="O12" s="297"/>
      <x:c r="P12" s="297"/>
      <x:c r="Q12" s="297"/>
      <x:c r="R12" s="297"/>
    </x:row>
    <x:row r="13">
      <x:c r="A13" s="297"/>
      <x:c r="B13" s="297"/>
      <x:c r="C13" s="297"/>
      <x:c r="D13" s="297"/>
      <x:c r="E13" s="297"/>
      <x:c r="F13" s="297"/>
      <x:c r="G13" s="297"/>
      <x:c r="H13" s="297"/>
      <x:c r="I13" s="297"/>
      <x:c r="J13" s="297"/>
      <x:c r="K13" s="297"/>
      <x:c r="L13" s="297"/>
      <x:c r="M13" s="297"/>
      <x:c r="N13" s="297"/>
      <x:c r="O13" s="297"/>
      <x:c r="P13" s="297"/>
      <x:c r="Q13" s="297"/>
      <x:c r="R13" s="297"/>
    </x:row>
    <x:row r="14">
      <x:c r="A14" s="297"/>
      <x:c r="B14" s="297"/>
      <x:c r="C14" s="297"/>
      <x:c r="D14" s="297"/>
      <x:c r="E14" s="297"/>
      <x:c r="F14" s="297"/>
      <x:c r="G14" s="297"/>
      <x:c r="H14" s="297"/>
      <x:c r="I14" s="297"/>
      <x:c r="J14" s="297"/>
      <x:c r="K14" s="297"/>
      <x:c r="L14" s="297"/>
      <x:c r="M14" s="297"/>
      <x:c r="N14" s="297"/>
      <x:c r="O14" s="297"/>
      <x:c r="P14" s="297"/>
      <x:c r="Q14" s="297"/>
      <x:c r="R14" s="297"/>
    </x:row>
    <x:row r="15">
      <x:c r="A15" s="297"/>
      <x:c r="B15" s="297"/>
      <x:c r="C15" s="297"/>
      <x:c r="D15" s="297"/>
      <x:c r="E15" s="297"/>
      <x:c r="F15" s="297"/>
      <x:c r="G15" s="297"/>
      <x:c r="H15" s="297"/>
      <x:c r="I15" s="297"/>
      <x:c r="J15" s="297"/>
      <x:c r="K15" s="297"/>
      <x:c r="L15" s="297"/>
      <x:c r="M15" s="297"/>
      <x:c r="N15" s="297"/>
      <x:c r="O15" s="297"/>
      <x:c r="P15" s="297"/>
      <x:c r="Q15" s="297"/>
      <x:c r="R15" s="297"/>
    </x:row>
    <x:row r="16">
      <x:c r="A16" s="297"/>
      <x:c r="B16" s="297"/>
      <x:c r="C16" s="297"/>
      <x:c r="D16" s="297"/>
      <x:c r="E16" s="297"/>
      <x:c r="F16" s="297"/>
      <x:c r="G16" s="297"/>
      <x:c r="H16" s="297"/>
      <x:c r="I16" s="297"/>
      <x:c r="J16" s="297"/>
      <x:c r="K16" s="297"/>
      <x:c r="L16" s="297"/>
      <x:c r="M16" s="297"/>
      <x:c r="N16" s="297"/>
      <x:c r="O16" s="297"/>
      <x:c r="P16" s="297"/>
      <x:c r="Q16" s="297"/>
      <x:c r="R16" s="297"/>
    </x:row>
    <x:row r="17">
      <x:c r="A17" s="297"/>
      <x:c r="B17" s="297"/>
      <x:c r="C17" s="297"/>
      <x:c r="D17" s="297"/>
      <x:c r="E17" s="297"/>
      <x:c r="F17" s="297"/>
      <x:c r="G17" s="297"/>
      <x:c r="H17" s="297"/>
      <x:c r="I17" s="297"/>
      <x:c r="J17" s="297"/>
      <x:c r="K17" s="297"/>
      <x:c r="L17" s="297"/>
      <x:c r="M17" s="297"/>
      <x:c r="N17" s="297"/>
      <x:c r="O17" s="297"/>
      <x:c r="P17" s="297"/>
      <x:c r="Q17" s="297"/>
      <x:c r="R17" s="297"/>
    </x:row>
    <x:row r="18">
      <x:c r="A18" s="297"/>
      <x:c r="B18" s="297"/>
      <x:c r="C18" s="297"/>
      <x:c r="D18" s="297"/>
      <x:c r="E18" s="297"/>
      <x:c r="F18" s="297"/>
      <x:c r="G18" s="297"/>
      <x:c r="H18" s="297"/>
      <x:c r="I18" s="297"/>
      <x:c r="J18" s="297"/>
      <x:c r="K18" s="297"/>
      <x:c r="L18" s="297"/>
      <x:c r="M18" s="297"/>
      <x:c r="N18" s="297"/>
      <x:c r="O18" s="297"/>
      <x:c r="P18" s="297"/>
      <x:c r="Q18" s="297"/>
      <x:c r="R18" s="297"/>
    </x:row>
    <x:row r="19">
      <x:c r="A19" s="297"/>
      <x:c r="B19" s="297"/>
      <x:c r="C19" s="297"/>
      <x:c r="D19" s="297"/>
      <x:c r="E19" s="297"/>
      <x:c r="F19" s="297"/>
      <x:c r="G19" s="297"/>
      <x:c r="H19" s="297"/>
      <x:c r="I19" s="297"/>
      <x:c r="J19" s="297"/>
      <x:c r="K19" s="297"/>
      <x:c r="L19" s="297"/>
      <x:c r="M19" s="297"/>
      <x:c r="N19" s="297"/>
      <x:c r="O19" s="297"/>
      <x:c r="P19" s="297"/>
      <x:c r="Q19" s="297"/>
      <x:c r="R19" s="297"/>
    </x:row>
    <x:row r="20">
      <x:c r="A20" s="297"/>
      <x:c r="B20" s="297"/>
      <x:c r="C20" s="297"/>
      <x:c r="D20" s="297"/>
      <x:c r="E20" s="297"/>
      <x:c r="F20" s="297"/>
      <x:c r="G20" s="297"/>
      <x:c r="H20" s="297"/>
      <x:c r="I20" s="297"/>
      <x:c r="J20" s="297"/>
      <x:c r="K20" s="297"/>
      <x:c r="L20" s="297"/>
      <x:c r="M20" s="297"/>
      <x:c r="N20" s="297"/>
      <x:c r="O20" s="297"/>
      <x:c r="P20" s="297"/>
      <x:c r="Q20" s="297"/>
      <x:c r="R20" s="297"/>
    </x:row>
    <x:row r="21">
      <x:c r="A21" s="297"/>
      <x:c r="B21" s="297"/>
      <x:c r="C21" s="297"/>
      <x:c r="D21" s="297"/>
      <x:c r="E21" s="297"/>
      <x:c r="F21" s="297"/>
      <x:c r="G21" s="297"/>
      <x:c r="H21" s="297"/>
      <x:c r="I21" s="297"/>
      <x:c r="J21" s="297"/>
      <x:c r="K21" s="297"/>
      <x:c r="L21" s="297"/>
      <x:c r="M21" s="297"/>
      <x:c r="N21" s="297"/>
      <x:c r="O21" s="297"/>
      <x:c r="P21" s="297"/>
      <x:c r="Q21" s="297"/>
      <x:c r="R21" s="297"/>
    </x:row>
    <x:row r="22">
      <x:c r="A22" s="297"/>
      <x:c r="B22" s="297"/>
      <x:c r="C22" s="297"/>
      <x:c r="D22" s="297"/>
      <x:c r="E22" s="297"/>
      <x:c r="F22" s="297"/>
      <x:c r="G22" s="297"/>
      <x:c r="H22" s="297"/>
      <x:c r="I22" s="297"/>
      <x:c r="J22" s="297"/>
      <x:c r="K22" s="297"/>
      <x:c r="L22" s="297"/>
      <x:c r="M22" s="297"/>
      <x:c r="N22" s="297"/>
      <x:c r="O22" s="297"/>
      <x:c r="P22" s="297"/>
      <x:c r="Q22" s="297"/>
      <x:c r="R22" s="297"/>
    </x:row>
    <x:row r="23">
      <x:c r="A23" s="297"/>
      <x:c r="B23" s="297"/>
      <x:c r="C23" s="297"/>
      <x:c r="D23" s="297"/>
      <x:c r="E23" s="297"/>
      <x:c r="F23" s="297"/>
      <x:c r="G23" s="297"/>
      <x:c r="H23" s="297"/>
      <x:c r="I23" s="297"/>
      <x:c r="J23" s="297"/>
      <x:c r="K23" s="297"/>
      <x:c r="L23" s="297"/>
      <x:c r="M23" s="297"/>
      <x:c r="N23" s="297"/>
      <x:c r="O23" s="297"/>
      <x:c r="P23" s="297"/>
      <x:c r="Q23" s="297"/>
      <x:c r="R23" s="297"/>
    </x:row>
    <x:row r="24">
      <x:c r="A24" s="297"/>
      <x:c r="B24" s="297"/>
      <x:c r="C24" s="297"/>
      <x:c r="D24" s="297"/>
      <x:c r="E24" s="297"/>
      <x:c r="F24" s="297"/>
      <x:c r="G24" s="297"/>
      <x:c r="H24" s="297"/>
      <x:c r="I24" s="297"/>
      <x:c r="J24" s="297"/>
      <x:c r="K24" s="297"/>
      <x:c r="L24" s="297"/>
      <x:c r="M24" s="297"/>
      <x:c r="N24" s="297"/>
      <x:c r="O24" s="297"/>
      <x:c r="P24" s="297"/>
      <x:c r="Q24" s="297"/>
      <x:c r="R24" s="297"/>
    </x:row>
    <x:row r="25">
      <x:c r="A25" s="297"/>
      <x:c r="B25" s="297"/>
      <x:c r="C25" s="297"/>
      <x:c r="D25" s="297"/>
      <x:c r="E25" s="297"/>
      <x:c r="F25" s="297"/>
      <x:c r="G25" s="297"/>
      <x:c r="H25" s="297"/>
      <x:c r="I25" s="297"/>
      <x:c r="J25" s="297"/>
      <x:c r="K25" s="297"/>
      <x:c r="L25" s="297"/>
      <x:c r="M25" s="297"/>
      <x:c r="N25" s="297"/>
      <x:c r="O25" s="297"/>
      <x:c r="P25" s="297"/>
      <x:c r="Q25" s="297"/>
      <x:c r="R25" s="297"/>
    </x:row>
    <x:row r="26">
      <x:c r="A26" s="297"/>
      <x:c r="B26" s="297"/>
      <x:c r="C26" s="297"/>
      <x:c r="D26" s="297"/>
      <x:c r="E26" s="297"/>
      <x:c r="F26" s="297"/>
      <x:c r="G26" s="297"/>
      <x:c r="H26" s="297"/>
      <x:c r="I26" s="297"/>
      <x:c r="J26" s="297"/>
      <x:c r="K26" s="297"/>
      <x:c r="L26" s="297"/>
      <x:c r="M26" s="297"/>
      <x:c r="N26" s="297"/>
      <x:c r="O26" s="297"/>
      <x:c r="P26" s="297"/>
      <x:c r="Q26" s="297"/>
      <x:c r="R26" s="297"/>
    </x:row>
    <x:row r="27">
      <x:c r="A27" s="297"/>
      <x:c r="B27" s="297"/>
      <x:c r="C27" s="297"/>
      <x:c r="D27" s="297"/>
      <x:c r="E27" s="297"/>
      <x:c r="F27" s="297"/>
      <x:c r="G27" s="297"/>
      <x:c r="H27" s="297"/>
      <x:c r="I27" s="297"/>
      <x:c r="J27" s="297"/>
      <x:c r="K27" s="297"/>
      <x:c r="L27" s="297"/>
      <x:c r="M27" s="297"/>
      <x:c r="N27" s="297"/>
      <x:c r="O27" s="297"/>
      <x:c r="P27" s="297"/>
      <x:c r="Q27" s="297"/>
      <x:c r="R27" s="297"/>
    </x:row>
    <x:row r="28">
      <x:c r="A28" s="297"/>
      <x:c r="B28" s="297"/>
      <x:c r="C28" s="297"/>
      <x:c r="D28" s="297"/>
      <x:c r="E28" s="297"/>
      <x:c r="F28" s="297"/>
      <x:c r="G28" s="297"/>
      <x:c r="H28" s="297"/>
      <x:c r="I28" s="297"/>
      <x:c r="J28" s="297"/>
      <x:c r="K28" s="297"/>
      <x:c r="L28" s="297"/>
      <x:c r="M28" s="297"/>
      <x:c r="N28" s="297"/>
      <x:c r="O28" s="297"/>
      <x:c r="P28" s="297"/>
      <x:c r="Q28" s="297"/>
      <x:c r="R28" s="297"/>
    </x:row>
    <x:row r="29">
      <x:c r="A29" s="297"/>
      <x:c r="B29" s="297"/>
      <x:c r="C29" s="297"/>
      <x:c r="D29" s="297"/>
      <x:c r="E29" s="297"/>
      <x:c r="F29" s="297"/>
      <x:c r="G29" s="297"/>
      <x:c r="H29" s="297"/>
      <x:c r="I29" s="297"/>
      <x:c r="J29" s="297"/>
      <x:c r="K29" s="297"/>
      <x:c r="L29" s="297"/>
      <x:c r="M29" s="297"/>
      <x:c r="N29" s="297"/>
      <x:c r="O29" s="297"/>
      <x:c r="P29" s="297"/>
      <x:c r="Q29" s="297"/>
      <x:c r="R29" s="297"/>
    </x:row>
    <x:row r="30">
      <x:c r="A30" s="297"/>
      <x:c r="B30" s="297"/>
      <x:c r="C30" s="297"/>
      <x:c r="D30" s="297"/>
      <x:c r="E30" s="297"/>
      <x:c r="F30" s="297"/>
      <x:c r="G30" s="297"/>
      <x:c r="H30" s="297"/>
      <x:c r="I30" s="297"/>
      <x:c r="J30" s="297"/>
      <x:c r="K30" s="297"/>
      <x:c r="L30" s="297"/>
      <x:c r="M30" s="297"/>
      <x:c r="N30" s="297"/>
      <x:c r="O30" s="297"/>
      <x:c r="P30" s="297"/>
      <x:c r="Q30" s="297"/>
      <x:c r="R30" s="297"/>
    </x:row>
    <x:row r="31">
      <x:c r="A31" s="297"/>
      <x:c r="B31" s="297"/>
      <x:c r="C31" s="297"/>
      <x:c r="D31" s="297"/>
      <x:c r="E31" s="297"/>
      <x:c r="F31" s="297"/>
      <x:c r="G31" s="297"/>
      <x:c r="H31" s="297"/>
      <x:c r="I31" s="297"/>
      <x:c r="J31" s="297"/>
      <x:c r="K31" s="297"/>
      <x:c r="L31" s="297"/>
      <x:c r="M31" s="297"/>
      <x:c r="N31" s="297"/>
      <x:c r="O31" s="297"/>
      <x:c r="P31" s="297"/>
      <x:c r="Q31" s="297"/>
      <x:c r="R31" s="297"/>
    </x:row>
    <x:row r="32">
      <x:c r="A32" s="297"/>
      <x:c r="B32" s="297"/>
      <x:c r="C32" s="297"/>
      <x:c r="D32" s="297"/>
      <x:c r="E32" s="297"/>
      <x:c r="F32" s="297"/>
      <x:c r="G32" s="297"/>
      <x:c r="H32" s="297"/>
      <x:c r="I32" s="297"/>
      <x:c r="J32" s="297"/>
      <x:c r="K32" s="297"/>
      <x:c r="L32" s="297"/>
      <x:c r="M32" s="297"/>
      <x:c r="N32" s="297"/>
      <x:c r="O32" s="297"/>
      <x:c r="P32" s="297"/>
      <x:c r="Q32" s="297"/>
      <x:c r="R32" s="297"/>
    </x:row>
    <x:row r="33">
      <x:c r="A33" s="297"/>
      <x:c r="B33" s="403" t="str">
        <x:v>Heatmap campus — performance, capacité et trajectoire</x:v>
      </x:c>
      <x:c r="C33" s="403"/>
      <x:c r="D33" s="403"/>
      <x:c r="E33" s="403"/>
      <x:c r="F33" s="403"/>
      <x:c r="G33" s="403"/>
      <x:c r="H33" s="403"/>
      <x:c r="I33" s="403"/>
      <x:c r="J33" s="403"/>
      <x:c r="K33" s="403"/>
      <x:c r="L33" s="403"/>
      <x:c r="M33" s="403"/>
      <x:c r="N33" s="403"/>
      <x:c r="O33" s="403"/>
      <x:c r="P33" s="297"/>
      <x:c r="Q33" s="297"/>
      <x:c r="R33" s="297"/>
    </x:row>
    <x:row r="34">
      <x:c r="A34" s="297"/>
      <x:c r="B34" s="405" t="str">
        <x:v>Lecture : benchmark relatif au Groupe · indice 100 = performance Groupe (60 % marge, 40 % remplissage)</x:v>
      </x:c>
      <x:c r="C34" s="405"/>
      <x:c r="D34" s="405"/>
      <x:c r="E34" s="405"/>
      <x:c r="F34" s="405"/>
      <x:c r="G34" s="405"/>
      <x:c r="H34" s="405"/>
      <x:c r="I34" s="405"/>
      <x:c r="J34" s="405"/>
      <x:c r="K34" s="405"/>
      <x:c r="L34" s="405"/>
      <x:c r="M34" s="405"/>
      <x:c r="N34" s="405"/>
      <x:c r="O34" s="405"/>
      <x:c r="P34" s="297"/>
      <x:c r="Q34" s="297"/>
      <x:c r="R34" s="297"/>
    </x:row>
    <x:row r="35">
      <x:c r="A35" s="297"/>
      <x:c r="B35" s="410" t="str">
        <x:v>Campus</x:v>
      </x:c>
      <x:c r="C35" s="410" t="str">
        <x:v>Marque</x:v>
      </x:c>
      <x:c r="D35" s="410" t="str">
        <x:v>CA 2026</x:v>
      </x:c>
      <x:c r="E35" s="410" t="str">
        <x:v>EBITDA</x:v>
      </x:c>
      <x:c r="F35" s="410" t="str">
        <x:v>Marge</x:v>
      </x:c>
      <x:c r="G35" s="410" t="str">
        <x:v>Rempl.</x:v>
      </x:c>
      <x:c r="H35" s="410" t="str">
        <x:v>Places libres</x:v>
      </x:c>
      <x:c r="I35" s="410" t="str">
        <x:v>Mix alt.</x:v>
      </x:c>
      <x:c r="J35" s="410" t="str">
        <x:v>Δ CA</x:v>
      </x:c>
      <x:c r="K35" s="410" t="str">
        <x:v>Δ marge</x:v>
      </x:c>
      <x:c r="L35" s="410" t="str">
        <x:v>Écart EBITDA</x:v>
      </x:c>
      <x:c r="M35" s="410" t="str">
        <x:v>Quadrant</x:v>
      </x:c>
      <x:c r="N35" s="410" t="str">
        <x:v>CA 24 › 25 › 26 (M€)</x:v>
      </x:c>
      <x:c r="O35" s="410" t="str">
        <x:v>Indice 100</x:v>
      </x:c>
      <x:c r="P35" s="297"/>
      <x:c r="Q35" s="297"/>
      <x:c r="R35" s="297"/>
    </x:row>
    <x:row r="36">
      <x:c r="A36" s="297"/>
      <x:c r="B36" s="429" t="str">
        <x:v>MBWAY_PAR</x:v>
      </x:c>
      <x:c r="C36" s="433" t="str">
        <x:f>VLOOKUP($B36,'Données'!$A$15:$M$23,2,0)</x:f>
        <x:v>MBway</x:v>
      </x:c>
      <x:c r="D36" s="454" t="n">
        <x:f>VLOOKUP($B36,'Données'!$A$15:$M$23,5,0)</x:f>
        <x:v>4250000</x:v>
      </x:c>
      <x:c r="E36" s="454" t="n">
        <x:f>VLOOKUP($B36,'Données'!$A$15:$M$23,8,0)</x:f>
        <x:v>812000</x:v>
      </x:c>
      <x:c r="F36" s="455" t="n">
        <x:f>E36/D36</x:f>
        <x:v>0.19105882352941175</x:v>
      </x:c>
      <x:c r="G36" s="455" t="n">
        <x:f>VLOOKUP($B36,'Données'!$A$15:$M$23,10,0)</x:f>
        <x:v>0.94</x:v>
      </x:c>
      <x:c r="H36" s="456" t="n">
        <x:f>VLOOKUP($B36,'Données'!$A$15:$M$23,13,0)</x:f>
        <x:v>14.297872340425556</x:v>
      </x:c>
      <x:c r="I36" s="455" t="n">
        <x:f>VLOOKUP($B36,'Données'!$A$15:$M$23,11,0)</x:f>
        <x:v>0.81</x:v>
      </x:c>
      <x:c r="J36" s="457" t="n">
        <x:f>D36/VLOOKUP($B36,'Données'!$A$15:$M$23,4,0)-1</x:f>
        <x:v>0.08400005713317937</x:v>
      </x:c>
      <x:c r="K36" s="458" t="n">
        <x:f>(F36-VLOOKUP($B36,'Données'!$A$15:$M$23,7,0)/VLOOKUP($B36,'Données'!$A$15:$M$23,4,0))*100</x:f>
        <x:v>1.7928965933861618</x:v>
      </x:c>
      <x:c r="L36" s="454" t="n">
        <x:f>MAX(0,$C$5*D36-E36)</x:f>
        <x:v>0</x:v>
      </x:c>
      <x:c r="M36" s="469" t="str">
        <x:f>IF(AND(F36&gt;=$C$5,G36&gt;=$E$5),"MOTEUR",IF(AND(F36&gt;=$C$5,G36&lt;$E$5),"POTENTIEL À REMPLIR",IF(AND(F36&lt;$C$5,G36&gt;=$E$5),"MARGE À RECONSTRUIRE","ARBITRAGE")))</x:f>
        <x:v>MOTEUR</x:v>
      </x:c>
      <x:c r="N36" s="470" t="str">
        <x:f>TEXT('Données'!C15/1000000,"0.0")&amp;" › "&amp;TEXT('Données'!D15/1000000,"0.0")&amp;" › "&amp;TEXT('Données'!E15/1000000,"0.0")</x:f>
        <x:v>3.6 › 3.9 › 4.3</x:v>
      </x:c>
      <x:c r="O36" s="471" t="n">
        <x:f>F36/$C$5*60+G36/$E$5*40</x:f>
        <x:v>113.27257521200445</x:v>
      </x:c>
      <x:c r="P36" s="297"/>
      <x:c r="Q36" s="297"/>
      <x:c r="R36" s="297"/>
    </x:row>
    <x:row r="37">
      <x:c r="A37" s="297"/>
      <x:c r="B37" s="425" t="str">
        <x:v>MBWAY_LYO</x:v>
      </x:c>
      <x:c r="C37" s="434" t="str">
        <x:f>VLOOKUP($B37,'Données'!$A$15:$M$23,2,0)</x:f>
        <x:v>MBway</x:v>
      </x:c>
      <x:c r="D37" s="459" t="n">
        <x:f>VLOOKUP($B37,'Données'!$A$15:$M$23,5,0)</x:f>
        <x:v>3180000</x:v>
      </x:c>
      <x:c r="E37" s="459" t="n">
        <x:f>VLOOKUP($B37,'Données'!$A$15:$M$23,8,0)</x:f>
        <x:v>528000</x:v>
      </x:c>
      <x:c r="F37" s="460" t="n">
        <x:f>E37/D37</x:f>
        <x:v>0.1660377358490566</x:v>
      </x:c>
      <x:c r="G37" s="460" t="n">
        <x:f>VLOOKUP($B37,'Données'!$A$15:$M$23,10,0)</x:f>
        <x:v>0.86</x:v>
      </x:c>
      <x:c r="H37" s="461" t="n">
        <x:f>VLOOKUP($B37,'Données'!$A$15:$M$23,13,0)</x:f>
        <x:v>27.34883720930233</x:v>
      </x:c>
      <x:c r="I37" s="460" t="n">
        <x:f>VLOOKUP($B37,'Données'!$A$15:$M$23,11,0)</x:f>
        <x:v>0.77</x:v>
      </x:c>
      <x:c r="J37" s="462" t="n">
        <x:f>D37/VLOOKUP($B37,'Données'!$A$15:$M$23,4,0)-1</x:f>
        <x:v>0.0690002696032126</x:v>
      </x:c>
      <x:c r="K37" s="463" t="n">
        <x:f>(F37-VLOOKUP($B37,'Données'!$A$15:$M$23,7,0)/VLOOKUP($B37,'Données'!$A$15:$M$23,4,0))*100</x:f>
        <x:v>0.49720030897114076</x:v>
      </x:c>
      <x:c r="L37" s="459" t="n">
        <x:f>MAX(0,$C$5*D37-E37)</x:f>
        <x:v>1443.7049939640565</x:v>
      </x:c>
      <x:c r="M37" s="472" t="str">
        <x:f>IF(AND(F37&gt;=$C$5,G37&gt;=$E$5),"MOTEUR",IF(AND(F37&gt;=$C$5,G37&lt;$E$5),"POTENTIEL À REMPLIR",IF(AND(F37&lt;$C$5,G37&gt;=$E$5),"MARGE À RECONSTRUIRE","ARBITRAGE")))</x:f>
        <x:v>MARGE À RECONSTRUIRE</x:v>
      </x:c>
      <x:c r="N37" s="473" t="str">
        <x:f>TEXT('Données'!C16/1000000,"0.0")&amp;" › "&amp;TEXT('Données'!D16/1000000,"0.0")&amp;" › "&amp;TEXT('Données'!E16/1000000,"0.0")</x:f>
        <x:v>2.8 › 3.0 › 3.2</x:v>
      </x:c>
      <x:c r="O37" s="474" t="n">
        <x:f>F37/$C$5*60+G37/$E$5*40</x:f>
        <x:v>100.4751678000139</x:v>
      </x:c>
      <x:c r="P37" s="297"/>
      <x:c r="Q37" s="297"/>
      <x:c r="R37" s="297"/>
    </x:row>
    <x:row r="38">
      <x:c r="A38" s="297"/>
      <x:c r="B38" s="429" t="str">
        <x:v>MBWAY_BOR</x:v>
      </x:c>
      <x:c r="C38" s="433" t="str">
        <x:f>VLOOKUP($B38,'Données'!$A$15:$M$23,2,0)</x:f>
        <x:v>MBway</x:v>
      </x:c>
      <x:c r="D38" s="454" t="n">
        <x:f>VLOOKUP($B38,'Données'!$A$15:$M$23,5,0)</x:f>
        <x:v>2270000</x:v>
      </x:c>
      <x:c r="E38" s="454" t="n">
        <x:f>VLOOKUP($B38,'Données'!$A$15:$M$23,8,0)</x:f>
        <x:v>350000</x:v>
      </x:c>
      <x:c r="F38" s="455" t="n">
        <x:f>E38/D38</x:f>
        <x:v>0.15418502202643172</x:v>
      </x:c>
      <x:c r="G38" s="455" t="n">
        <x:f>VLOOKUP($B38,'Données'!$A$15:$M$23,10,0)</x:f>
        <x:v>0.81</x:v>
      </x:c>
      <x:c r="H38" s="456" t="n">
        <x:f>VLOOKUP($B38,'Données'!$A$15:$M$23,13,0)</x:f>
        <x:v>28.148148148148152</x:v>
      </x:c>
      <x:c r="I38" s="455" t="n">
        <x:f>VLOOKUP($B38,'Données'!$A$15:$M$23,11,0)</x:f>
        <x:v>0.74</x:v>
      </x:c>
      <x:c r="J38" s="457" t="n">
        <x:f>D38/VLOOKUP($B38,'Données'!$A$15:$M$23,4,0)-1</x:f>
        <x:v>0.05600010420441559</x:v>
      </x:c>
      <x:c r="K38" s="458" t="n">
        <x:f>(F38-VLOOKUP($B38,'Données'!$A$15:$M$23,7,0)/VLOOKUP($B38,'Données'!$A$15:$M$23,4,0))*100</x:f>
        <x:v>0.25838793133674265</x:v>
      </x:c>
      <x:c r="L38" s="454" t="n">
        <x:f>MAX(0,$C$5*D38-E38)</x:f>
        <x:v>27936.229665502615</x:v>
      </x:c>
      <x:c r="M38" s="469" t="str">
        <x:f>IF(AND(F38&gt;=$C$5,G38&gt;=$E$5),"MOTEUR",IF(AND(F38&gt;=$C$5,G38&lt;$E$5),"POTENTIEL À REMPLIR",IF(AND(F38&lt;$C$5,G38&gt;=$E$5),"MARGE À RECONSTRUIRE","ARBITRAGE")))</x:f>
        <x:v>ARBITRAGE</x:v>
      </x:c>
      <x:c r="N38" s="470" t="str">
        <x:f>TEXT('Données'!C17/1000000,"0.0")&amp;" › "&amp;TEXT('Données'!D17/1000000,"0.0")&amp;" › "&amp;TEXT('Données'!E17/1000000,"0.0")</x:f>
        <x:v>2.0 › 2.1 › 2.3</x:v>
      </x:c>
      <x:c r="O38" s="471" t="n">
        <x:f>F38/$C$5*60+G38/$E$5*40</x:f>
        <x:v>93.84098780142378</x:v>
      </x:c>
      <x:c r="P38" s="297"/>
      <x:c r="Q38" s="297"/>
      <x:c r="R38" s="297"/>
    </x:row>
    <x:row r="39">
      <x:c r="A39" s="297"/>
      <x:c r="B39" s="425" t="str">
        <x:v>ISCOM_PAR</x:v>
      </x:c>
      <x:c r="C39" s="434" t="str">
        <x:f>VLOOKUP($B39,'Données'!$A$15:$M$23,2,0)</x:f>
        <x:v>Iscom</x:v>
      </x:c>
      <x:c r="D39" s="459" t="n">
        <x:f>VLOOKUP($B39,'Données'!$A$15:$M$23,5,0)</x:f>
        <x:v>4010000</x:v>
      </x:c>
      <x:c r="E39" s="459" t="n">
        <x:f>VLOOKUP($B39,'Données'!$A$15:$M$23,8,0)</x:f>
        <x:v>690000</x:v>
      </x:c>
      <x:c r="F39" s="460" t="n">
        <x:f>E39/D39</x:f>
        <x:v>0.17206982543640897</x:v>
      </x:c>
      <x:c r="G39" s="460" t="n">
        <x:f>VLOOKUP($B39,'Données'!$A$15:$M$23,10,0)</x:f>
        <x:v>0.88</x:v>
      </x:c>
      <x:c r="H39" s="461" t="n">
        <x:f>VLOOKUP($B39,'Données'!$A$15:$M$23,13,0)</x:f>
        <x:v>27.954545454545467</x:v>
      </x:c>
      <x:c r="I39" s="460" t="n">
        <x:f>VLOOKUP($B39,'Données'!$A$15:$M$23,11,0)</x:f>
        <x:v>0.67</x:v>
      </x:c>
      <x:c r="J39" s="462" t="n">
        <x:f>D39/VLOOKUP($B39,'Données'!$A$15:$M$23,4,0)-1</x:f>
        <x:v>0.059999962992520084</x:v>
      </x:c>
      <x:c r="K39" s="463" t="n">
        <x:f>(F39-VLOOKUP($B39,'Données'!$A$15:$M$23,7,0)/VLOOKUP($B39,'Données'!$A$15:$M$23,4,0))*100</x:f>
        <x:v>0.15710782717767158</x:v>
      </x:c>
      <x:c r="L39" s="459" t="n">
        <x:f>MAX(0,$C$5*D39-E39)</x:f>
        <x:v>0</x:v>
      </x:c>
      <x:c r="M39" s="472" t="str">
        <x:f>IF(AND(F39&gt;=$C$5,G39&gt;=$E$5),"MOTEUR",IF(AND(F39&gt;=$C$5,G39&lt;$E$5),"POTENTIEL À REMPLIR",IF(AND(F39&lt;$C$5,G39&gt;=$E$5),"MARGE À RECONSTRUIRE","ARBITRAGE")))</x:f>
        <x:v>MOTEUR</x:v>
      </x:c>
      <x:c r="N39" s="473" t="str">
        <x:f>TEXT('Données'!C18/1000000,"0.0")&amp;" › "&amp;TEXT('Données'!D18/1000000,"0.0")&amp;" › "&amp;TEXT('Données'!E18/1000000,"0.0")</x:f>
        <x:v>3.6 › 3.8 › 4.0</x:v>
      </x:c>
      <x:c r="O39" s="474" t="n">
        <x:f>F39/$C$5*60+G39/$E$5*40</x:f>
        <x:v>103.59408959277201</x:v>
      </x:c>
      <x:c r="P39" s="297"/>
      <x:c r="Q39" s="297"/>
      <x:c r="R39" s="297"/>
    </x:row>
    <x:row r="40">
      <x:c r="A40" s="297"/>
      <x:c r="B40" s="429" t="str">
        <x:v>ISCOM_LIL</x:v>
      </x:c>
      <x:c r="C40" s="433" t="str">
        <x:f>VLOOKUP($B40,'Données'!$A$15:$M$23,2,0)</x:f>
        <x:v>Iscom</x:v>
      </x:c>
      <x:c r="D40" s="454" t="n">
        <x:f>VLOOKUP($B40,'Données'!$A$15:$M$23,5,0)</x:f>
        <x:v>2591085</x:v>
      </x:c>
      <x:c r="E40" s="454" t="n">
        <x:f>VLOOKUP($B40,'Données'!$A$15:$M$23,8,0)</x:f>
        <x:v>391990</x:v>
      </x:c>
      <x:c r="F40" s="455" t="n">
        <x:f>E40/D40</x:f>
        <x:v>0.15128411456976518</x:v>
      </x:c>
      <x:c r="G40" s="455" t="n">
        <x:f>VLOOKUP($B40,'Données'!$A$15:$M$23,10,0)</x:f>
        <x:v>0.81</x:v>
      </x:c>
      <x:c r="H40" s="456" t="n">
        <x:f>VLOOKUP($B40,'Données'!$A$15:$M$23,13,0)</x:f>
        <x:v>31.901234567901213</x:v>
      </x:c>
      <x:c r="I40" s="455" t="n">
        <x:f>VLOOKUP($B40,'Données'!$A$15:$M$23,11,0)</x:f>
        <x:v>0.62</x:v>
      </x:c>
      <x:c r="J40" s="457" t="n">
        <x:f>D40/VLOOKUP($B40,'Données'!$A$15:$M$23,4,0)-1</x:f>
        <x:v>0.03696202106112434</x:v>
      </x:c>
      <x:c r="K40" s="458" t="n">
        <x:f>(F40-VLOOKUP($B40,'Données'!$A$15:$M$23,7,0)/VLOOKUP($B40,'Données'!$A$15:$M$23,4,0))*100</x:f>
        <x:v>0.5810039170571907</x:v>
      </x:c>
      <x:c r="L40" s="454" t="n">
        <x:f>MAX(0,$C$5*D40-E40)</x:f>
        <x:v>39404.227155435656</x:v>
      </x:c>
      <x:c r="M40" s="469" t="str">
        <x:f>IF(AND(F40&gt;=$C$5,G40&gt;=$E$5),"MOTEUR",IF(AND(F40&gt;=$C$5,G40&lt;$E$5),"POTENTIEL À REMPLIR",IF(AND(F40&lt;$C$5,G40&gt;=$E$5),"MARGE À RECONSTRUIRE","ARBITRAGE")))</x:f>
        <x:v>ARBITRAGE</x:v>
      </x:c>
      <x:c r="N40" s="470" t="str">
        <x:f>TEXT('Données'!C19/1000000,"0.0")&amp;" › "&amp;TEXT('Données'!D19/1000000,"0.0")&amp;" › "&amp;TEXT('Données'!E19/1000000,"0.0")</x:f>
        <x:v>2.4 › 2.5 › 2.6</x:v>
      </x:c>
      <x:c r="O40" s="471" t="n">
        <x:f>F40/$C$5*60+G40/$E$5*40</x:f>
        <x:v>92.79556382620004</x:v>
      </x:c>
      <x:c r="P40" s="297"/>
      <x:c r="Q40" s="297"/>
      <x:c r="R40" s="297"/>
    </x:row>
    <x:row r="41">
      <x:c r="A41" s="297"/>
      <x:c r="B41" s="425" t="str">
        <x:v>PIGIER_BOR</x:v>
      </x:c>
      <x:c r="C41" s="434" t="str">
        <x:f>VLOOKUP($B41,'Données'!$A$15:$M$23,2,0)</x:f>
        <x:v>Pigier</x:v>
      </x:c>
      <x:c r="D41" s="459" t="n">
        <x:f>VLOOKUP($B41,'Données'!$A$15:$M$23,5,0)</x:f>
        <x:v>2640000</x:v>
      </x:c>
      <x:c r="E41" s="459" t="n">
        <x:f>VLOOKUP($B41,'Données'!$A$15:$M$23,8,0)</x:f>
        <x:v>545000</x:v>
      </x:c>
      <x:c r="F41" s="460" t="n">
        <x:f>E41/D41</x:f>
        <x:v>0.20643939393939395</x:v>
      </x:c>
      <x:c r="G41" s="460" t="n">
        <x:f>VLOOKUP($B41,'Données'!$A$15:$M$23,10,0)</x:f>
        <x:v>0.85</x:v>
      </x:c>
      <x:c r="H41" s="461" t="n">
        <x:f>VLOOKUP($B41,'Données'!$A$15:$M$23,13,0)</x:f>
        <x:v>25.235294117647072</x:v>
      </x:c>
      <x:c r="I41" s="460" t="n">
        <x:f>VLOOKUP($B41,'Données'!$A$15:$M$23,11,0)</x:f>
        <x:v>0.83</x:v>
      </x:c>
      <x:c r="J41" s="462" t="n">
        <x:f>D41/VLOOKUP($B41,'Données'!$A$15:$M$23,4,0)-1</x:f>
        <x:v>0.07199981158791191</x:v>
      </x:c>
      <x:c r="K41" s="463" t="n">
        <x:f>(F41-VLOOKUP($B41,'Données'!$A$15:$M$23,7,0)/VLOOKUP($B41,'Données'!$A$15:$M$23,4,0))*100</x:f>
        <x:v>0.8281853009507206</x:v>
      </x:c>
      <x:c r="L41" s="459" t="n">
        <x:f>MAX(0,$C$5*D41-E41)</x:f>
        <x:v>0</x:v>
      </x:c>
      <x:c r="M41" s="472" t="str">
        <x:f>IF(AND(F41&gt;=$C$5,G41&gt;=$E$5),"MOTEUR",IF(AND(F41&gt;=$C$5,G41&lt;$E$5),"POTENTIEL À REMPLIR",IF(AND(F41&lt;$C$5,G41&gt;=$E$5),"MARGE À RECONSTRUIRE","ARBITRAGE")))</x:f>
        <x:v>MOTEUR</x:v>
      </x:c>
      <x:c r="N41" s="473" t="str">
        <x:f>TEXT('Données'!C20/1000000,"0.0")&amp;" › "&amp;TEXT('Données'!D20/1000000,"0.0")&amp;" › "&amp;TEXT('Données'!E20/1000000,"0.0")</x:f>
        <x:v>2.3 › 2.5 › 2.6</x:v>
      </x:c>
      <x:c r="O41" s="474" t="n">
        <x:f>F41/$C$5*60+G41/$E$5*40</x:f>
        <x:v>114.56250302592368</x:v>
      </x:c>
      <x:c r="P41" s="297"/>
      <x:c r="Q41" s="297"/>
      <x:c r="R41" s="297"/>
    </x:row>
    <x:row r="42">
      <x:c r="A42" s="297"/>
      <x:c r="B42" s="429" t="str">
        <x:v>PIGIER_LYO</x:v>
      </x:c>
      <x:c r="C42" s="433" t="str">
        <x:f>VLOOKUP($B42,'Données'!$A$15:$M$23,2,0)</x:f>
        <x:v>Pigier</x:v>
      </x:c>
      <x:c r="D42" s="454" t="n">
        <x:f>VLOOKUP($B42,'Données'!$A$15:$M$23,5,0)</x:f>
        <x:v>2310000</x:v>
      </x:c>
      <x:c r="E42" s="454" t="n">
        <x:f>VLOOKUP($B42,'Données'!$A$15:$M$23,8,0)</x:f>
        <x:v>454900</x:v>
      </x:c>
      <x:c r="F42" s="455" t="n">
        <x:f>E42/D42</x:f>
        <x:v>0.19692640692640692</x:v>
      </x:c>
      <x:c r="G42" s="455" t="n">
        <x:f>VLOOKUP($B42,'Données'!$A$15:$M$23,10,0)</x:f>
        <x:v>0.81</x:v>
      </x:c>
      <x:c r="H42" s="456" t="n">
        <x:f>VLOOKUP($B42,'Données'!$A$15:$M$23,13,0)</x:f>
        <x:v>29.320987654320987</x:v>
      </x:c>
      <x:c r="I42" s="455" t="n">
        <x:f>VLOOKUP($B42,'Données'!$A$15:$M$23,11,0)</x:f>
        <x:v>0.81</x:v>
      </x:c>
      <x:c r="J42" s="457" t="n">
        <x:f>D42/VLOOKUP($B42,'Données'!$A$15:$M$23,4,0)-1</x:f>
        <x:v>0.06300000690259755</x:v>
      </x:c>
      <x:c r="K42" s="458" t="n">
        <x:f>(F42-VLOOKUP($B42,'Données'!$A$15:$M$23,7,0)/VLOOKUP($B42,'Données'!$A$15:$M$23,4,0))*100</x:f>
        <x:v>0.8025323448694249</x:v>
      </x:c>
      <x:c r="L42" s="454" t="n">
        <x:f>MAX(0,$C$5*D42-E42)</x:f>
        <x:v>0</x:v>
      </x:c>
      <x:c r="M42" s="469" t="str">
        <x:f>IF(AND(F42&gt;=$C$5,G42&gt;=$E$5),"MOTEUR",IF(AND(F42&gt;=$C$5,G42&lt;$E$5),"POTENTIEL À REMPLIR",IF(AND(F42&lt;$C$5,G42&gt;=$E$5),"MARGE À RECONSTRUIRE","ARBITRAGE")))</x:f>
        <x:v>POTENTIEL À REMPLIR</x:v>
      </x:c>
      <x:c r="N42" s="470" t="str">
        <x:f>TEXT('Données'!C21/1000000,"0.0")&amp;" › "&amp;TEXT('Données'!D21/1000000,"0.0")&amp;" › "&amp;TEXT('Données'!E21/1000000,"0.0")</x:f>
        <x:v>2.1 › 2.2 › 2.3</x:v>
      </x:c>
      <x:c r="O42" s="471" t="n">
        <x:f>F42/$C$5*60+G42/$E$5*40</x:f>
        <x:v>109.24405362691743</x:v>
      </x:c>
      <x:c r="P42" s="297"/>
      <x:c r="Q42" s="297"/>
      <x:c r="R42" s="297"/>
    </x:row>
    <x:row r="43">
      <x:c r="A43" s="297"/>
      <x:c r="B43" s="425" t="str">
        <x:v>TUNON_PAR</x:v>
      </x:c>
      <x:c r="C43" s="434" t="str">
        <x:f>VLOOKUP($B43,'Données'!$A$15:$M$23,2,0)</x:f>
        <x:v>Tunon</x:v>
      </x:c>
      <x:c r="D43" s="459" t="n">
        <x:f>VLOOKUP($B43,'Données'!$A$15:$M$23,5,0)</x:f>
        <x:v>1102400</x:v>
      </x:c>
      <x:c r="E43" s="459" t="n">
        <x:f>VLOOKUP($B43,'Données'!$A$15:$M$23,8,0)</x:f>
        <x:v>96300</x:v>
      </x:c>
      <x:c r="F43" s="460" t="n">
        <x:f>E43/D43</x:f>
        <x:v>0.08735486211901307</x:v>
      </x:c>
      <x:c r="G43" s="460" t="n">
        <x:f>VLOOKUP($B43,'Données'!$A$15:$M$23,10,0)</x:f>
        <x:v>0.79</x:v>
      </x:c>
      <x:c r="H43" s="461" t="n">
        <x:f>VLOOKUP($B43,'Données'!$A$15:$M$23,13,0)</x:f>
        <x:v>17.012658227848092</x:v>
      </x:c>
      <x:c r="I43" s="460" t="n">
        <x:f>VLOOKUP($B43,'Données'!$A$15:$M$23,11,0)</x:f>
        <x:v>0.72</x:v>
      </x:c>
      <x:c r="J43" s="462" t="n">
        <x:f>D43/VLOOKUP($B43,'Données'!$A$15:$M$23,4,0)-1</x:f>
        <x:v>0.031000146831479558</x:v>
      </x:c>
      <x:c r="K43" s="463" t="n">
        <x:f>(F43-VLOOKUP($B43,'Données'!$A$15:$M$23,7,0)/VLOOKUP($B43,'Données'!$A$15:$M$23,4,0))*100</x:f>
        <x:v>-1.2527953267055525</x:v>
      </x:c>
      <x:c r="L43" s="459" t="n">
        <x:f>MAX(0,$C$5*D43-E43)</x:f>
        <x:v>87240.48439790754</x:v>
      </x:c>
      <x:c r="M43" s="472" t="str">
        <x:f>IF(AND(F43&gt;=$C$5,G43&gt;=$E$5),"MOTEUR",IF(AND(F43&gt;=$C$5,G43&lt;$E$5),"POTENTIEL À REMPLIR",IF(AND(F43&lt;$C$5,G43&gt;=$E$5),"MARGE À RECONSTRUIRE","ARBITRAGE")))</x:f>
        <x:v>ARBITRAGE</x:v>
      </x:c>
      <x:c r="N43" s="473" t="str">
        <x:f>TEXT('Données'!C22/1000000,"0.0")&amp;" › "&amp;TEXT('Données'!D22/1000000,"0.0")&amp;" › "&amp;TEXT('Données'!E22/1000000,"0.0")</x:f>
        <x:v>1.0 › 1.1 › 1.1</x:v>
      </x:c>
      <x:c r="O43" s="474" t="n">
        <x:f>F43/$C$5*60+G43/$E$5*40</x:f>
        <x:v>68.81176335014055</x:v>
      </x:c>
      <x:c r="P43" s="297"/>
      <x:c r="Q43" s="297"/>
      <x:c r="R43" s="297"/>
    </x:row>
    <x:row r="44">
      <x:c r="A44" s="297"/>
      <x:c r="B44" s="431" t="str">
        <x:v>TUNON_LYO</x:v>
      </x:c>
      <x:c r="C44" s="435" t="str">
        <x:f>VLOOKUP($B44,'Données'!$A$15:$M$23,2,0)</x:f>
        <x:v>Tunon</x:v>
      </x:c>
      <x:c r="D44" s="464" t="n">
        <x:f>VLOOKUP($B44,'Données'!$A$15:$M$23,5,0)</x:f>
        <x:v>745500</x:v>
      </x:c>
      <x:c r="E44" s="464" t="n">
        <x:f>VLOOKUP($B44,'Données'!$A$15:$M$23,8,0)</x:f>
        <x:v>-22400</x:v>
      </x:c>
      <x:c r="F44" s="465" t="n">
        <x:f>E44/D44</x:f>
        <x:v>-0.03004694835680751</x:v>
      </x:c>
      <x:c r="G44" s="465" t="n">
        <x:f>VLOOKUP($B44,'Données'!$A$15:$M$23,10,0)</x:f>
        <x:v>0.67</x:v>
      </x:c>
      <x:c r="H44" s="466" t="n">
        <x:f>VLOOKUP($B44,'Données'!$A$15:$M$23,13,0)</x:f>
        <x:v>21.671641791044777</x:v>
      </x:c>
      <x:c r="I44" s="465" t="n">
        <x:f>VLOOKUP($B44,'Données'!$A$15:$M$23,11,0)</x:f>
        <x:v>0.66</x:v>
      </x:c>
      <x:c r="J44" s="467" t="n">
        <x:f>D44/VLOOKUP($B44,'Données'!$A$15:$M$23,4,0)-1</x:f>
        <x:v>0.0019999677424558104</x:v>
      </x:c>
      <x:c r="K44" s="468" t="n">
        <x:f>(F44-VLOOKUP($B44,'Données'!$A$15:$M$23,7,0)/VLOOKUP($B44,'Données'!$A$15:$M$23,4,0))*100</x:f>
        <x:v>-1.2869806052651127</x:v>
      </x:c>
      <x:c r="L44" s="464" t="n">
        <x:f>MAX(0,$C$5*D44-E44)</x:f>
        <x:v>146519.58555754722</x:v>
      </x:c>
      <x:c r="M44" s="475" t="str">
        <x:f>IF(AND(F44&gt;=$C$5,G44&gt;=$E$5),"MOTEUR",IF(AND(F44&gt;=$C$5,G44&lt;$E$5),"POTENTIEL À REMPLIR",IF(AND(F44&lt;$C$5,G44&gt;=$E$5),"MARGE À RECONSTRUIRE","ARBITRAGE")))</x:f>
        <x:v>ARBITRAGE</x:v>
      </x:c>
      <x:c r="N44" s="476" t="str">
        <x:f>TEXT('Données'!C23/1000000,"0.0")&amp;" › "&amp;TEXT('Données'!D23/1000000,"0.0")&amp;" › "&amp;TEXT('Données'!E23/1000000,"0.0")</x:f>
        <x:v>0.7 › 0.7 › 0.7</x:v>
      </x:c>
      <x:c r="O44" s="477" t="n">
        <x:f>F44/$C$5*60+G44/$E$5*40</x:f>
        <x:v>20.832176291416783</x:v>
      </x:c>
      <x:c r="P44" s="297"/>
      <x:c r="Q44" s="297"/>
      <x:c r="R44" s="297"/>
    </x:row>
    <x:row r="45">
      <x:c r="A45" s="297"/>
      <x:c r="B45" s="297"/>
      <x:c r="C45" s="297"/>
      <x:c r="D45" s="297"/>
      <x:c r="E45" s="297"/>
      <x:c r="F45" s="297"/>
      <x:c r="G45" s="297"/>
      <x:c r="H45" s="297"/>
      <x:c r="I45" s="297"/>
      <x:c r="J45" s="297"/>
      <x:c r="K45" s="297"/>
      <x:c r="L45" s="297"/>
      <x:c r="M45" s="297"/>
      <x:c r="N45" s="297"/>
      <x:c r="O45" s="297"/>
      <x:c r="P45" s="297"/>
      <x:c r="Q45" s="297"/>
      <x:c r="R45" s="297"/>
    </x:row>
    <x:row r="46">
      <x:c r="A46" s="297"/>
      <x:c r="B46" s="297"/>
      <x:c r="C46" s="297"/>
      <x:c r="D46" s="297"/>
      <x:c r="E46" s="297"/>
      <x:c r="F46" s="297"/>
      <x:c r="G46" s="297"/>
      <x:c r="H46" s="297"/>
      <x:c r="I46" s="297"/>
      <x:c r="J46" s="297"/>
      <x:c r="K46" s="297"/>
      <x:c r="L46" s="297"/>
      <x:c r="M46" s="297"/>
      <x:c r="N46" s="297"/>
      <x:c r="O46" s="297"/>
      <x:c r="P46" s="297"/>
      <x:c r="Q46" s="297"/>
      <x:c r="R46" s="297"/>
    </x:row>
    <x:row r="47">
      <x:c r="A47" s="297"/>
      <x:c r="B47" s="403" t="str">
        <x:v>Playbook de décision — action associée à chaque quadrant</x:v>
      </x:c>
      <x:c r="C47" s="403"/>
      <x:c r="D47" s="403"/>
      <x:c r="E47" s="403"/>
      <x:c r="F47" s="403"/>
      <x:c r="G47" s="403"/>
      <x:c r="H47" s="403"/>
      <x:c r="I47" s="403"/>
      <x:c r="J47" s="403"/>
      <x:c r="K47" s="403"/>
      <x:c r="L47" s="403"/>
      <x:c r="M47" s="403"/>
      <x:c r="N47" s="403"/>
      <x:c r="O47" s="403"/>
      <x:c r="P47" s="403"/>
      <x:c r="Q47" s="403"/>
      <x:c r="R47" s="297"/>
    </x:row>
    <x:row r="48">
      <x:c r="A48" s="297"/>
      <x:c r="B48" s="494" t="str">
        <x:v>MOTEUR</x:v>
      </x:c>
      <x:c r="C48" s="495"/>
      <x:c r="D48" s="495"/>
      <x:c r="E48" s="496"/>
      <x:c r="F48" s="543" t="str">
        <x:v>POTENTIEL À REMPLIR</x:v>
      </x:c>
      <x:c r="G48" s="544"/>
      <x:c r="H48" s="544"/>
      <x:c r="I48" s="545"/>
      <x:c r="J48" s="592" t="str">
        <x:v>MARGE À RECONSTRUIRE</x:v>
      </x:c>
      <x:c r="K48" s="593"/>
      <x:c r="L48" s="593"/>
      <x:c r="M48" s="594"/>
      <x:c r="N48" s="641" t="str">
        <x:v>ARBITRAGE</x:v>
      </x:c>
      <x:c r="O48" s="642"/>
      <x:c r="P48" s="642"/>
      <x:c r="Q48" s="643"/>
      <x:c r="R48" s="297"/>
    </x:row>
    <x:row r="49">
      <x:c r="A49" s="297"/>
      <x:c r="B49" s="500" t="n">
        <x:f>COUNTIF($M$36:$M$44,"MOTEUR")</x:f>
        <x:v>3</x:v>
      </x:c>
      <x:c r="C49" s="501"/>
      <x:c r="D49" s="501"/>
      <x:c r="E49" s="502"/>
      <x:c r="F49" s="549" t="n">
        <x:f>COUNTIF($M$36:$M$44,"POTENTIEL À REMPLIR")</x:f>
        <x:v>1</x:v>
      </x:c>
      <x:c r="G49" s="550"/>
      <x:c r="H49" s="550"/>
      <x:c r="I49" s="551"/>
      <x:c r="J49" s="598" t="n">
        <x:f>COUNTIF($M$36:$M$44,"MARGE À RECONSTRUIRE")</x:f>
        <x:v>1</x:v>
      </x:c>
      <x:c r="K49" s="599"/>
      <x:c r="L49" s="599"/>
      <x:c r="M49" s="600"/>
      <x:c r="N49" s="647" t="n">
        <x:f>COUNTIF($M$36:$M$44,"ARBITRAGE")</x:f>
        <x:v>4</x:v>
      </x:c>
      <x:c r="O49" s="648"/>
      <x:c r="P49" s="648"/>
      <x:c r="Q49" s="649"/>
      <x:c r="R49" s="297"/>
    </x:row>
    <x:row r="50">
      <x:c r="A50" s="297"/>
      <x:c r="B50" s="521" t="str">
        <x:v>Protéger le mix, sécuriser la capacité et accélérer sans dégrader le CAC.</x:v>
      </x:c>
      <x:c r="C50" s="522"/>
      <x:c r="D50" s="522"/>
      <x:c r="E50" s="523"/>
      <x:c r="F50" s="570" t="str">
        <x:v>Priorité au recrutement et à l’occupation des classes existantes avant toute ouverture.</x:v>
      </x:c>
      <x:c r="G50" s="571"/>
      <x:c r="H50" s="571"/>
      <x:c r="I50" s="572"/>
      <x:c r="J50" s="619" t="str">
        <x:v>Repricing, mix alternance et productivité : la demande est là, la marge doit suivre.</x:v>
      </x:c>
      <x:c r="K50" s="620"/>
      <x:c r="L50" s="620"/>
      <x:c r="M50" s="621"/>
      <x:c r="N50" s="668" t="str">
        <x:v>Scénariser regroupement, fermeture de classes ou plan de redressement campus.</x:v>
      </x:c>
      <x:c r="O50" s="669"/>
      <x:c r="P50" s="669"/>
      <x:c r="Q50" s="670"/>
      <x:c r="R50" s="297"/>
    </x:row>
    <x:row r="51">
      <x:c r="A51" s="297"/>
      <x:c r="B51" s="521"/>
      <x:c r="C51" s="522"/>
      <x:c r="D51" s="522"/>
      <x:c r="E51" s="523"/>
      <x:c r="F51" s="570"/>
      <x:c r="G51" s="571"/>
      <x:c r="H51" s="571"/>
      <x:c r="I51" s="572"/>
      <x:c r="J51" s="619"/>
      <x:c r="K51" s="620"/>
      <x:c r="L51" s="620"/>
      <x:c r="M51" s="621"/>
      <x:c r="N51" s="668"/>
      <x:c r="O51" s="669"/>
      <x:c r="P51" s="669"/>
      <x:c r="Q51" s="670"/>
      <x:c r="R51" s="297"/>
    </x:row>
    <x:row r="52">
      <x:c r="A52" s="297"/>
      <x:c r="B52" s="521"/>
      <x:c r="C52" s="522"/>
      <x:c r="D52" s="522"/>
      <x:c r="E52" s="523"/>
      <x:c r="F52" s="570"/>
      <x:c r="G52" s="571"/>
      <x:c r="H52" s="571"/>
      <x:c r="I52" s="572"/>
      <x:c r="J52" s="619"/>
      <x:c r="K52" s="620"/>
      <x:c r="L52" s="620"/>
      <x:c r="M52" s="621"/>
      <x:c r="N52" s="668"/>
      <x:c r="O52" s="669"/>
      <x:c r="P52" s="669"/>
      <x:c r="Q52" s="670"/>
      <x:c r="R52" s="297"/>
    </x:row>
    <x:row r="53">
      <x:c r="A53" s="297"/>
      <x:c r="B53" s="524"/>
      <x:c r="C53" s="525"/>
      <x:c r="D53" s="525"/>
      <x:c r="E53" s="526"/>
      <x:c r="F53" s="573"/>
      <x:c r="G53" s="574"/>
      <x:c r="H53" s="574"/>
      <x:c r="I53" s="575"/>
      <x:c r="J53" s="622"/>
      <x:c r="K53" s="623"/>
      <x:c r="L53" s="623"/>
      <x:c r="M53" s="624"/>
      <x:c r="N53" s="671"/>
      <x:c r="O53" s="672"/>
      <x:c r="P53" s="672"/>
      <x:c r="Q53" s="673"/>
      <x:c r="R53" s="297"/>
    </x:row>
    <x:row r="54">
      <x:c r="A54" s="297"/>
      <x:c r="B54" s="297"/>
      <x:c r="C54" s="297"/>
      <x:c r="D54" s="297"/>
      <x:c r="E54" s="297"/>
      <x:c r="F54" s="297"/>
      <x:c r="G54" s="297"/>
      <x:c r="H54" s="297"/>
      <x:c r="I54" s="297"/>
      <x:c r="J54" s="297"/>
      <x:c r="K54" s="297"/>
      <x:c r="L54" s="297"/>
      <x:c r="M54" s="297"/>
      <x:c r="N54" s="297"/>
      <x:c r="O54" s="297"/>
      <x:c r="P54" s="297"/>
      <x:c r="Q54" s="297"/>
      <x:c r="R54" s="297"/>
    </x:row>
    <x:row r="55" ht="20" customHeight="1">
      <x:c r="A55" s="297"/>
      <x:c r="B55" s="675" t="str">
        <x:v>Écart EBITDA = montant théorique nécessaire pour porter chaque campus sous benchmark à la marge moyenne Groupe, à CA constant. Ce n’est ni un budget ni un engagement.</x:v>
      </x:c>
      <x:c r="C55" s="675"/>
      <x:c r="D55" s="675"/>
      <x:c r="E55" s="675"/>
      <x:c r="F55" s="675"/>
      <x:c r="G55" s="675"/>
      <x:c r="H55" s="675"/>
      <x:c r="I55" s="675"/>
      <x:c r="J55" s="675"/>
      <x:c r="K55" s="675"/>
      <x:c r="L55" s="675"/>
      <x:c r="M55" s="675"/>
      <x:c r="N55" s="675"/>
      <x:c r="O55" s="675"/>
      <x:c r="P55" s="675"/>
      <x:c r="Q55" s="675"/>
      <x:c r="R55" s="297"/>
    </x:row>
    <x:row r="56" ht="20" customHeight="1">
      <x:c r="A56" s="297"/>
      <x:c r="B56" s="675" t="str">
        <x:v>Source : socle 2026 du classeur · benchmark et quadrants entièrement recalculés par formules.</x:v>
      </x:c>
      <x:c r="C56" s="675"/>
      <x:c r="D56" s="675"/>
      <x:c r="E56" s="675"/>
      <x:c r="F56" s="675"/>
      <x:c r="G56" s="675"/>
      <x:c r="H56" s="675"/>
      <x:c r="I56" s="675"/>
      <x:c r="J56" s="675"/>
      <x:c r="K56" s="675"/>
      <x:c r="L56" s="675"/>
      <x:c r="M56" s="675"/>
      <x:c r="N56" s="675"/>
      <x:c r="O56" s="675"/>
      <x:c r="P56" s="675"/>
      <x:c r="Q56" s="675"/>
      <x:c r="R56" s="297"/>
    </x:row>
    <x:row r="57">
      <x:c r="A57" s="297"/>
      <x:c r="B57" s="297"/>
      <x:c r="C57" s="297"/>
      <x:c r="D57" s="297"/>
      <x:c r="E57" s="297"/>
      <x:c r="F57" s="297"/>
      <x:c r="G57" s="297"/>
      <x:c r="H57" s="297"/>
      <x:c r="I57" s="297"/>
      <x:c r="J57" s="297"/>
      <x:c r="K57" s="297"/>
      <x:c r="L57" s="297"/>
      <x:c r="M57" s="297"/>
      <x:c r="N57" s="297"/>
      <x:c r="O57" s="297"/>
      <x:c r="P57" s="297"/>
      <x:c r="Q57" s="297"/>
      <x:c r="R57" s="297"/>
    </x:row>
    <x:row r="58">
      <x:c r="A58" s="297"/>
      <x:c r="B58" s="297"/>
      <x:c r="C58" s="297"/>
      <x:c r="D58" s="297"/>
      <x:c r="E58" s="297"/>
      <x:c r="F58" s="297"/>
      <x:c r="G58" s="297"/>
      <x:c r="H58" s="297"/>
      <x:c r="I58" s="297"/>
      <x:c r="J58" s="297"/>
      <x:c r="K58" s="297"/>
      <x:c r="L58" s="297"/>
      <x:c r="M58" s="297"/>
      <x:c r="N58" s="297"/>
      <x:c r="O58" s="297"/>
      <x:c r="P58" s="297"/>
      <x:c r="Q58" s="297"/>
      <x:c r="R58" s="297"/>
    </x:row>
    <x:row r="59">
      <x:c r="A59" s="297"/>
      <x:c r="B59" s="297"/>
      <x:c r="C59" s="297"/>
      <x:c r="D59" s="297"/>
      <x:c r="E59" s="297"/>
      <x:c r="F59" s="297"/>
      <x:c r="G59" s="297"/>
      <x:c r="H59" s="297"/>
      <x:c r="I59" s="297"/>
      <x:c r="J59" s="297"/>
      <x:c r="K59" s="297"/>
      <x:c r="L59" s="297"/>
      <x:c r="M59" s="297"/>
      <x:c r="N59" s="297"/>
      <x:c r="O59" s="297"/>
      <x:c r="P59" s="297"/>
      <x:c r="Q59" s="297"/>
      <x:c r="R59" s="297"/>
    </x:row>
    <x:row r="60">
      <x:c r="A60" s="297"/>
      <x:c r="B60" s="297"/>
      <x:c r="C60" s="297"/>
      <x:c r="D60" s="297"/>
      <x:c r="E60" s="297"/>
      <x:c r="F60" s="297"/>
      <x:c r="G60" s="297"/>
      <x:c r="H60" s="297"/>
      <x:c r="I60" s="297"/>
      <x:c r="J60" s="297"/>
      <x:c r="K60" s="297"/>
      <x:c r="L60" s="297"/>
      <x:c r="M60" s="297"/>
      <x:c r="N60" s="297"/>
      <x:c r="O60" s="297"/>
      <x:c r="P60" s="297"/>
      <x:c r="Q60" s="297"/>
      <x:c r="R60" s="297"/>
    </x:row>
    <x:row r="61">
      <x:c r="A61" s="297"/>
      <x:c r="B61" s="297"/>
      <x:c r="C61" s="297"/>
      <x:c r="D61" s="297"/>
      <x:c r="E61" s="297"/>
      <x:c r="F61" s="297"/>
      <x:c r="G61" s="297"/>
      <x:c r="H61" s="297"/>
      <x:c r="I61" s="297"/>
      <x:c r="J61" s="297"/>
      <x:c r="K61" s="297"/>
      <x:c r="L61" s="297"/>
      <x:c r="M61" s="297"/>
      <x:c r="N61" s="297"/>
      <x:c r="O61" s="297"/>
      <x:c r="P61" s="297"/>
      <x:c r="Q61" s="297"/>
      <x:c r="R61" s="297"/>
    </x:row>
    <x:row r="62">
      <x:c r="A62" s="297"/>
      <x:c r="B62" s="297"/>
      <x:c r="C62" s="297"/>
      <x:c r="D62" s="297"/>
      <x:c r="E62" s="297"/>
      <x:c r="F62" s="297"/>
      <x:c r="G62" s="297"/>
      <x:c r="H62" s="297"/>
      <x:c r="I62" s="297"/>
      <x:c r="J62" s="297"/>
      <x:c r="K62" s="297"/>
      <x:c r="L62" s="297"/>
      <x:c r="M62" s="297"/>
      <x:c r="N62" s="297"/>
      <x:c r="O62" s="297"/>
      <x:c r="P62" s="297"/>
      <x:c r="Q62" s="297"/>
      <x:c r="R62" s="297"/>
    </x:row>
    <x:row r="63">
      <x:c r="A63" s="297"/>
      <x:c r="B63" s="297"/>
      <x:c r="C63" s="297"/>
      <x:c r="D63" s="297"/>
      <x:c r="E63" s="297"/>
      <x:c r="F63" s="297"/>
      <x:c r="G63" s="297"/>
      <x:c r="H63" s="297"/>
      <x:c r="I63" s="297"/>
      <x:c r="J63" s="297"/>
      <x:c r="K63" s="297"/>
      <x:c r="L63" s="297"/>
      <x:c r="M63" s="297"/>
      <x:c r="N63" s="297"/>
      <x:c r="O63" s="297"/>
      <x:c r="P63" s="297"/>
      <x:c r="Q63" s="297"/>
      <x:c r="R63" s="297"/>
    </x:row>
    <x:row r="64">
      <x:c r="A64" s="297"/>
      <x:c r="B64" s="297"/>
      <x:c r="C64" s="297"/>
      <x:c r="D64" s="297"/>
      <x:c r="E64" s="297"/>
      <x:c r="F64" s="297"/>
      <x:c r="G64" s="297"/>
      <x:c r="H64" s="297"/>
      <x:c r="I64" s="297"/>
      <x:c r="J64" s="297"/>
      <x:c r="K64" s="297"/>
      <x:c r="L64" s="297"/>
      <x:c r="M64" s="297"/>
      <x:c r="N64" s="297"/>
      <x:c r="O64" s="297"/>
      <x:c r="P64" s="297"/>
      <x:c r="Q64" s="297"/>
      <x:c r="R64" s="297"/>
    </x:row>
    <x:row r="65">
      <x:c r="A65" s="297"/>
      <x:c r="B65" s="297"/>
      <x:c r="C65" s="297"/>
      <x:c r="D65" s="297"/>
      <x:c r="E65" s="297"/>
      <x:c r="F65" s="297"/>
      <x:c r="G65" s="297"/>
      <x:c r="H65" s="297"/>
      <x:c r="I65" s="297"/>
      <x:c r="J65" s="297"/>
      <x:c r="K65" s="297"/>
      <x:c r="L65" s="297"/>
      <x:c r="M65" s="297"/>
      <x:c r="N65" s="297"/>
      <x:c r="O65" s="297"/>
      <x:c r="P65" s="297"/>
      <x:c r="Q65" s="297"/>
      <x:c r="R65" s="297"/>
    </x:row>
  </x:sheetData>
  <x:mergeCells>
    <x:mergeCell ref="B1:D1"/>
    <x:mergeCell ref="E1:G1"/>
    <x:mergeCell ref="H1:J1"/>
    <x:mergeCell ref="K1:M1"/>
    <x:mergeCell ref="B2:Q2"/>
    <x:mergeCell ref="B3:L3"/>
    <x:mergeCell ref="M3:Q3"/>
    <x:mergeCell ref="F5:H5"/>
    <x:mergeCell ref="I5:Q5"/>
    <x:mergeCell ref="B7:D7"/>
    <x:mergeCell ref="B8:D8"/>
    <x:mergeCell ref="B9:D9"/>
    <x:mergeCell ref="B10:D10"/>
    <x:mergeCell ref="E7:G7"/>
    <x:mergeCell ref="E8:G8"/>
    <x:mergeCell ref="E9:G9"/>
    <x:mergeCell ref="E10:G10"/>
    <x:mergeCell ref="H7:J7"/>
    <x:mergeCell ref="H8:J8"/>
    <x:mergeCell ref="H9:J9"/>
    <x:mergeCell ref="H10:J10"/>
    <x:mergeCell ref="K7:M7"/>
    <x:mergeCell ref="K8:M8"/>
    <x:mergeCell ref="K9:M9"/>
    <x:mergeCell ref="K10:M10"/>
    <x:mergeCell ref="N7:Q7"/>
    <x:mergeCell ref="N8:Q8"/>
    <x:mergeCell ref="N9:Q9"/>
    <x:mergeCell ref="N10:Q10"/>
    <x:mergeCell ref="B33:O33"/>
    <x:mergeCell ref="B34:O34"/>
    <x:mergeCell ref="B47:Q47"/>
    <x:mergeCell ref="B48:E48"/>
    <x:mergeCell ref="B49:E49"/>
    <x:mergeCell ref="B50:E53"/>
    <x:mergeCell ref="F48:I48"/>
    <x:mergeCell ref="F49:I49"/>
    <x:mergeCell ref="F50:I53"/>
    <x:mergeCell ref="J48:M48"/>
    <x:mergeCell ref="J49:M49"/>
    <x:mergeCell ref="J50:M53"/>
    <x:mergeCell ref="N48:Q48"/>
    <x:mergeCell ref="N49:Q49"/>
    <x:mergeCell ref="N50:Q53"/>
    <x:mergeCell ref="B55:Q55"/>
    <x:mergeCell ref="B56:Q56"/>
  </x:mergeCells>
  <x:conditionalFormatting sqref="F36:F44">
    <x:cfRule type="colorScale" priority="1">
      <x:colorScale>
        <x:cfvo type="min"/>
        <x:cfvo type="percentile" val="50"/>
        <x:cfvo type="max"/>
        <x:color rgb="FFFDEAEA"/>
        <x:color rgb="FFFFF5DF"/>
        <x:color rgb="FFE8F5EE"/>
      </x:colorScale>
    </x:cfRule>
  </x:conditionalFormatting>
  <x:conditionalFormatting sqref="G36:G44">
    <x:cfRule type="colorScale" priority="2">
      <x:colorScale>
        <x:cfvo type="min"/>
        <x:cfvo type="percentile" val="50"/>
        <x:cfvo type="max"/>
        <x:color rgb="FFFDEAEA"/>
        <x:color rgb="FFFFF5DF"/>
        <x:color rgb="FFE8F5EE"/>
      </x:colorScale>
    </x:cfRule>
  </x:conditionalFormatting>
  <x:conditionalFormatting sqref="H36:H44">
    <x:cfRule type="dataBar" priority="3">
      <x:dataBar>
        <x:cfvo type="num" val="0"/>
        <x:cfvo type="max"/>
        <x:color rgb="FFEC7D3C"/>
      </x:dataBar>
      <x:extLst>
        <x:ext xmlns:x14="http://schemas.microsoft.com/office/spreadsheetml/2009/9/main" uri="{B025F937-C7B1-47D3-B67F-A62EFF666E3E}">
          <x14:id>{741BB363-7520-7068-5316-351EF1E0B7F9}</x14:id>
        </x:ext>
      </x:extLst>
    </x:cfRule>
  </x:conditionalFormatting>
  <x:conditionalFormatting sqref="J36:J44">
    <x:cfRule type="cellIs" dxfId="36" priority="4" operator="lessThan">
      <x:formula>0</x:formula>
    </x:cfRule>
    <x:cfRule type="cellIs" dxfId="37" priority="5" operator="greaterThanOrEqual">
      <x:formula>0</x:formula>
    </x:cfRule>
  </x:conditionalFormatting>
  <x:conditionalFormatting sqref="K36:K44">
    <x:cfRule type="cellIs" dxfId="38" priority="6" operator="lessThan">
      <x:formula>0</x:formula>
    </x:cfRule>
    <x:cfRule type="cellIs" dxfId="39" priority="7" operator="greaterThanOrEqual">
      <x:formula>0</x:formula>
    </x:cfRule>
  </x:conditionalFormatting>
  <x:conditionalFormatting sqref="L36:L44">
    <x:cfRule type="dataBar" priority="8">
      <x:dataBar>
        <x:cfvo type="num" val="0"/>
        <x:cfvo type="max"/>
        <x:color rgb="FFC84343"/>
      </x:dataBar>
      <x:extLst>
        <x:ext xmlns:x14="http://schemas.microsoft.com/office/spreadsheetml/2009/9/main" uri="{B025F937-C7B1-47D3-B67F-A62EFF666E3E}">
          <x14:id>{33F00100-13B1-558C-ED80-B7C7199452D3}</x14:id>
        </x:ext>
      </x:extLst>
    </x:cfRule>
  </x:conditionalFormatting>
  <x:conditionalFormatting sqref="M36:M44">
    <x:cfRule type="containsText" dxfId="40" priority="9" operator="containsText" text="MOTEUR"/>
    <x:cfRule type="containsText" dxfId="41" priority="10" operator="containsText" text="POTENTIEL"/>
    <x:cfRule type="containsText" dxfId="42" priority="11" operator="containsText" text="RECONSTRUIRE"/>
    <x:cfRule type="containsText" dxfId="43" priority="12" operator="containsText" text="ARBITRAGE"/>
  </x:conditionalFormatting>
  <x:conditionalFormatting sqref="O36:O44">
    <x:cfRule type="dataBar" priority="13">
      <x:dataBar>
        <x:cfvo type="num" val="0"/>
        <x:cfvo type="max"/>
        <x:color rgb="FF2A78D6"/>
      </x:dataBar>
      <x:extLst>
        <x:ext xmlns:x14="http://schemas.microsoft.com/office/spreadsheetml/2009/9/main" uri="{B025F937-C7B1-47D3-B67F-A62EFF666E3E}">
          <x14:id>{BCA19691-F5D4-C875-3DD4-534EF98C34C4}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139ffaf3b9bb490e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741BB363-7520-7068-5316-351EF1E0B7F9}">
            <x14:dataBar gradient="1">
              <x14:cfvo type="num">
                <xm:f>0</xm:f>
              </x14:cfvo>
              <x14:cfvo type="max"/>
              <x14:fillColor rgb="FFEC7D3C"/>
            </x14:dataBar>
          </x14:cfRule>
          <xm:sqref>H36:H44</xm:sqref>
        </x14:conditionalFormatting>
        <x14:conditionalFormatting>
          <x14:cfRule type="dataBar" priority="8" id="{33F00100-13B1-558C-ED80-B7C7199452D3}">
            <x14:dataBar gradient="1">
              <x14:cfvo type="num">
                <xm:f>0</xm:f>
              </x14:cfvo>
              <x14:cfvo type="max"/>
              <x14:fillColor rgb="FFC84343"/>
            </x14:dataBar>
          </x14:cfRule>
          <xm:sqref>L36:L44</xm:sqref>
        </x14:conditionalFormatting>
        <x14:conditionalFormatting>
          <x14:cfRule type="dataBar" priority="13" id="{BCA19691-F5D4-C875-3DD4-534EF98C34C4}">
            <x14:dataBar gradient="1">
              <x14:cfvo type="num">
                <xm:f>0</xm:f>
              </x14:cfvo>
              <x14:cfvo type="max"/>
              <x14:fillColor rgb="FF2A78D6"/>
            </x14:dataBar>
          </x14:cfRule>
          <xm:sqref>O36:O44</xm:sqref>
        </x14:conditionalFormatting>
      </x14:conditionalFormattings>
    </x:ext>
  </x:extLst>
</x:worksheet>
</file>