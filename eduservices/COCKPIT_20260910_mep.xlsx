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3"/>
  </bookViews>
  <sheets>
    <sheet r:id="rId1" name="_TGK_HIDDEN" sheetId="1" state="veryHidden"/>
    <sheet r:id="rId2" name="Cockpit" sheetId="2"/>
    <sheet r:id="rId3" name="Drill EBITDA 1" sheetId="3"/>
    <sheet r:id="rId4" name="Drill EBITDA 2" sheetId="4"/>
  </sheets>
  <definedNames>
    <definedName name="Query02" localSheetId="1" comment="Query02">Cockpit!$BB$6:$BD$9</definedName>
    <definedName name="Query01" localSheetId="1" comment="Query01">Cockpit!$AK$6:$AN$11</definedName>
    <definedName name="Query00" localSheetId="1" comment="Query00">Cockpit!$AD$6:$AH$11</definedName>
  </definedNames>
  <calcPr calcId="0" fullCalcOnLoad="1"/>
</workbook>
</file>

<file path=xl/sharedStrings.xml><?xml version="1.0" encoding="utf-8"?>
<sst xmlns="http://schemas.openxmlformats.org/spreadsheetml/2006/main" count="195" uniqueCount="195">
  <si>
    <t>Template00</t>
  </si>
  <si>
    <t>Template01</t>
  </si>
  <si>
    <t>Template02</t>
  </si>
  <si>
    <t>COCKPIT EDUSERVICES - PILOTAGE DE LA MARGE</t>
  </si>
  <si>
    <t xml:space="preserve">  Scénario</t>
  </si>
  <si>
    <t xml:space="preserve">Exercice 2026 · variation contre 2025 </t>
  </si>
  <si>
    <t>Version</t>
  </si>
  <si>
    <t>V_FINAL</t>
  </si>
  <si>
    <t>Entité</t>
  </si>
  <si>
    <t>EDUSERVICES</t>
  </si>
  <si>
    <t>Pont</t>
  </si>
  <si>
    <t>ETAPE</t>
  </si>
  <si>
    <t>SOCLE</t>
  </si>
  <si>
    <t>ANCRE</t>
  </si>
  <si>
    <t>HAUSSE</t>
  </si>
  <si>
    <t>BAISSE</t>
  </si>
  <si>
    <t>LIBELLE</t>
  </si>
  <si>
    <t>MARGE_2024</t>
  </si>
  <si>
    <t>MARGE_2025</t>
  </si>
  <si>
    <t>MARGE_2026</t>
  </si>
  <si>
    <t>EXERCICE</t>
  </si>
  <si>
    <t>IND_DEPENSES</t>
  </si>
  <si>
    <t>IND_INSCRITS</t>
  </si>
  <si>
    <t>EBITDA 2025</t>
  </si>
  <si>
    <t>Ipac Bachelor Factory</t>
  </si>
  <si>
    <t>2024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</si>
  <si>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</si>
  <si>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</si>
  <si>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</si>
  <si>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</si>
  <si>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</si>
  <si>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</si>
  <si>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Activite</t>
  </si>
  <si>
    <t>ISCOM</t>
  </si>
  <si>
    <t>2025</t>
  </si>
  <si>
    <t>Prix / mix</t>
  </si>
  <si>
    <t>MBway</t>
  </si>
  <si>
    <t>2026</t>
  </si>
  <si>
    <t>Couts</t>
  </si>
  <si>
    <t>Pigier</t>
  </si>
  <si>
    <t>EBITDA 2026</t>
  </si>
  <si>
    <t>Tunon</t>
  </si>
  <si>
    <t xml:space="preserve">  Pont d'EBITDA 2025 → 2026</t>
  </si>
  <si>
    <t xml:space="preserve">  Marge EBITDA par marque</t>
  </si>
  <si>
    <t>Dépenses Vs Inscriptions</t>
  </si>
  <si>
    <t>CA</t>
  </si>
  <si>
    <t>Δ CA</t>
  </si>
  <si>
    <t>EBITDA</t>
  </si>
  <si>
    <t>Δ EBITDA</t>
  </si>
  <si>
    <t>Part EBITDA</t>
  </si>
  <si>
    <t>Marge EBITDA</t>
  </si>
  <si>
    <t>Δ Marge</t>
  </si>
  <si>
    <t>Inscrits</t>
  </si>
  <si>
    <t>Rempl.</t>
  </si>
  <si>
    <t>Mix alt.</t>
  </si>
  <si>
    <t>EFFECTIFS</t>
  </si>
  <si>
    <t>PLACES</t>
  </si>
  <si>
    <t>EFFECTIFS_ALT</t>
  </si>
  <si>
    <t>EBITDA_N1</t>
  </si>
  <si>
    <t>CA_N1</t>
  </si>
  <si>
    <t>SPEND_ACQ</t>
  </si>
  <si>
    <t>SPEND_ACQ_N1</t>
  </si>
  <si>
    <t>Marge EBTIDA N-1</t>
  </si>
  <si>
    <t>PLACES_N1</t>
  </si>
  <si>
    <t>INSCRITS_N1</t>
  </si>
  <si>
    <t>EFFECTIFS_N1</t>
  </si>
  <si>
    <t>% nouveaux inscrits</t>
  </si>
  <si>
    <t>Programme</t>
  </si>
  <si>
    <t>Modalité</t>
  </si>
  <si>
    <t>Ipac Bachelor Factory Montpellier</t>
  </si>
  <si>
    <t>Ipac Bachelor Factory Nantes</t>
  </si>
  <si>
    <t>Ipac Bachelor Factory Rennes</t>
  </si>
  <si>
    <t>ISCOM Lille</t>
  </si>
  <si>
    <t>ISCOM Paris</t>
  </si>
  <si>
    <t>ISCOM Toulouse</t>
  </si>
  <si>
    <t>MBway Bordeaux</t>
  </si>
  <si>
    <t>MBway Lyon</t>
  </si>
  <si>
    <t>MBway Nantes</t>
  </si>
  <si>
    <t>MBway Paris</t>
  </si>
  <si>
    <t>Pigier Bordeaux</t>
  </si>
  <si>
    <t>Pigier Lyon</t>
  </si>
  <si>
    <t>Tunon Lyon</t>
  </si>
  <si>
    <t>Tunon Paris</t>
  </si>
  <si>
    <t>POURQUOI L'EBITDA A BOUGÉ</t>
  </si>
  <si>
    <t>drill sur la cellule cliquée · 2026 contre 2025</t>
  </si>
  <si>
    <t>L'EBITDA passe de 3.467.793 € à 3.845.817 €, soit +378.024 €  (+10,9%)</t>
  </si>
  <si>
    <t>le pont ci-dessous décompose cette variation en cinq causes, sans reste</t>
  </si>
  <si>
    <t>LE PONT, CHIFFRE PAR CHIFFRE</t>
  </si>
  <si>
    <t>Effet</t>
  </si>
  <si>
    <t>Montant</t>
  </si>
  <si>
    <t>Part de sa masse</t>
  </si>
  <si>
    <t>Effet effectifs</t>
  </si>
  <si>
    <t>Effet prix et mix</t>
  </si>
  <si>
    <t>Effet coût var. unitaire</t>
  </si>
  <si>
    <t>Effet coûts directs</t>
  </si>
  <si>
    <t>Effet siège</t>
  </si>
  <si>
    <t>Ce qui pousse  ·  ce qui freine</t>
  </si>
  <si>
    <t>Contrôle · les cinq effets moins la variation</t>
  </si>
  <si>
    <t>doit valoir 0,00 €</t>
  </si>
  <si>
    <t xml:space="preserve">LE DÉTAIL PAR CAMPUS </t>
  </si>
  <si>
    <t>Calcul des effets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</si>
  <si>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</si>
  <si>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</si>
  <si>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</si>
  <si>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</si>
  <si>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</si>
  <si>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</si>
  <si>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</si>
  <si>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</si>
  <si>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</si>
  <si>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</si>
  <si>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</si>
  <si>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</si>
  <si>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</si>
  <si>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TOTAL du périmètre</t>
  </si>
  <si>
    <t>—</t>
  </si>
  <si>
    <t>DE QUOI CET EBITDA EST-IL FAIT</t>
  </si>
  <si>
    <t>Sur 23.098.985 € de chiffre d'affaires, 19.253.179 € partent en charges. Il reste 3.845.806 € d'EBITDA, soit 16,6% du chiffre d'affaires.</t>
  </si>
  <si>
    <t>Compte</t>
  </si>
  <si>
    <t>Famille</t>
  </si>
  <si>
    <t>Poste</t>
  </si>
  <si>
    <t>Poste court</t>
  </si>
  <si>
    <t>Montant 2025</t>
  </si>
  <si>
    <t>Montant 2026</t>
  </si>
  <si>
    <t>604</t>
  </si>
  <si>
    <t>Cout variable</t>
  </si>
  <si>
    <t>Sous-traitance pédagogique</t>
  </si>
  <si>
    <t>Achats d'etudes</t>
  </si>
  <si>
    <t>6063</t>
  </si>
  <si>
    <t>Fournitures pédagogiques &amp; petit équipement</t>
  </si>
  <si>
    <t>Fournitures</t>
  </si>
  <si>
    <t>613</t>
  </si>
  <si>
    <t>Couts directs</t>
  </si>
  <si>
    <t>Loyers &amp; charges locatives (campus)</t>
  </si>
  <si>
    <t>Loyers</t>
  </si>
  <si>
    <t>615</t>
  </si>
  <si>
    <t>Entretien &amp; maintenance</t>
  </si>
  <si>
    <t>Entretien</t>
  </si>
  <si>
    <t>616</t>
  </si>
  <si>
    <t>Primes d'assurance</t>
  </si>
  <si>
    <t>Assurances</t>
  </si>
  <si>
    <t>621</t>
  </si>
  <si>
    <t>Personnel extérieur — vacataires &amp; intervenants</t>
  </si>
  <si>
    <t>Vacataires</t>
  </si>
  <si>
    <t>6231</t>
  </si>
  <si>
    <t>Publicité &amp; marketing d'acquisition (leads)</t>
  </si>
  <si>
    <t>Acquisition</t>
  </si>
  <si>
    <t>COMPTE</t>
  </si>
  <si>
    <t>POSTE</t>
  </si>
  <si>
    <t>MONTANT 2025</t>
  </si>
  <si>
    <t>MONTANT 2026</t>
  </si>
  <si>
    <t>625</t>
  </si>
  <si>
    <t>Déplacements, missions &amp; réceptions</t>
  </si>
  <si>
    <t>Deplacements</t>
  </si>
  <si>
    <t>706</t>
  </si>
  <si>
    <t>Scolarite des etudiants en initial</t>
  </si>
  <si>
    <t>63511</t>
  </si>
  <si>
    <t>Cotisation foncière &amp; CVAE</t>
  </si>
  <si>
    <t>Taxes</t>
  </si>
  <si>
    <t>7062</t>
  </si>
  <si>
    <t>Scolarite des alternants</t>
  </si>
  <si>
    <t>6411</t>
  </si>
  <si>
    <t>Rémunération enseignants permanents</t>
  </si>
  <si>
    <t>Salaires</t>
  </si>
  <si>
    <t>708</t>
  </si>
  <si>
    <t>Frais d'inscription</t>
  </si>
  <si>
    <t>6413</t>
  </si>
  <si>
    <t>Rémunération personnel administratif &amp; pédagogique</t>
  </si>
  <si>
    <t>Primes</t>
  </si>
  <si>
    <t>645</t>
  </si>
  <si>
    <t>Charges sociales &amp; de prévoyance</t>
  </si>
  <si>
    <t>Charges sociales</t>
  </si>
  <si>
    <t>Produits</t>
  </si>
  <si>
    <t>Prestations de formation — scolarité (initial)</t>
  </si>
  <si>
    <t>Scolarite initial</t>
  </si>
  <si>
    <t>Prestations de formation — alternance (OPCO)</t>
  </si>
  <si>
    <t>Scolarite alternance</t>
  </si>
  <si>
    <t>Frais de dossier &amp; droits d'inscription</t>
  </si>
  <si>
    <t>SIEGE</t>
  </si>
  <si>
    <t>Siege</t>
  </si>
  <si>
    <t>Siege redescendu (allocation, pas une ecriture)</t>
  </si>
  <si>
    <t>LE COMPTE D'EXPLOITATION, POSTE PAR POSTE</t>
  </si>
  <si>
    <t>Effet EBITDA</t>
  </si>
  <si>
    <t>Part des charges</t>
  </si>
  <si>
    <t/>
  </si>
  <si>
    <t>= EBITDA  ·  produits − charges − siège</t>
  </si>
  <si>
    <t>RAPPROCHEMENT DU CHIFFRE D'AFFAIRES  ·  comptes de produit contre socle CRM</t>
  </si>
  <si>
    <t>Comptes de produit  ·  706 + 7062 + 708, somme des trois lignes ci-dessus</t>
  </si>
  <si>
    <t>CRM  ·  effectifs × droits de scolarité</t>
  </si>
  <si>
    <t>Écart</t>
  </si>
  <si>
    <t xml:space="preserve">  PÉRIMÈTRE</t>
  </si>
  <si>
    <t xml:space="preserve">14 campus</t>
  </si>
  <si>
    <t xml:space="preserve">5 marques</t>
  </si>
  <si>
    <t>Exercice</t>
  </si>
  <si>
    <t>2026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</si>
</sst>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570" formatCode="0.0%"/>
    <numFmt numFmtId="571" formatCode="#,##0.00,"/>
    <numFmt numFmtId="572" formatCode="#,##0,"/>
    <numFmt numFmtId="575" formatCode="mm/dd/yy;@"/>
    <numFmt numFmtId="577" formatCode="_(&quot;$&quot;* #,##0_);_(&quot;$&quot;* \(#,##0\);_(&quot;$&quot;* &quot;-&quot;_);_(@_)"/>
    <numFmt numFmtId="578" formatCode="&quot;$&quot;#,##0.00"/>
    <numFmt numFmtId="583" formatCode="#,##0&quot; €&quot;"/>
    <numFmt numFmtId="585" formatCode="0.00&quot; €&quot;"/>
    <numFmt numFmtId="587" formatCode="&quot;▲ &quot;#,##0;&quot;▼ &quot;#,##0;&quot;—&quot;"/>
    <numFmt numFmtId="590" formatCode="\+#,##0&quot; €&quot;;\-#,##0&quot; €&quot;;&quot;0 €&quot;"/>
    <numFmt numFmtId="591" formatCode="\+0.00%;\-0.00%;&quot;0,00 %&quot;"/>
    <numFmt numFmtId="592" formatCode="\+#,##0&quot; €&quot;"/>
    <numFmt numFmtId="593" formatCode="\-#,##0&quot; €&quot;"/>
    <numFmt numFmtId="600" formatCode="&quot;▲ &quot;0.0%;&quot;▼ &quot;0.0%;&quot;—&quot;"/>
    <numFmt numFmtId="601" formatCode="&quot;+&quot;0.0%;&quot;-&quot;0.0%;&quot;—&quot;"/>
    <numFmt numFmtId="602" formatCode="&quot;▲ &quot;0.00&quot; pt&quot;;&quot;▼ &quot;0.00&quot; pt&quot;;&quot;—&quot;"/>
    <numFmt numFmtId="603" formatCode="&quot;+&quot;0.00&quot; pt&quot;;&quot;-&quot;0.00&quot; pt&quot;;&quot;—&quot;"/>
    <numFmt numFmtId="604" formatCode="#,##0&quot; places libres&quot;;\-#,##0&quot; places libres&quot;;&quot;—&quot;"/>
    <numFmt numFmtId="605" formatCode="#,##0&quot; places libres&quot;"/>
    <numFmt numFmtId="606" formatCode="&quot;▲ &quot;0.0%;&quot;▼ &quot;0.0%;&quot;&quot;"/>
    <numFmt numFmtId="608" formatCode="&quot;▲ &quot;0.00;&quot;▼ &quot;0.00;&quot;&quot;"/>
    <numFmt numFmtId="610" formatCode="&quot;+&quot;0.0%;&quot;-&quot;0.0%;&quot;&quot;"/>
    <numFmt numFmtId="615" formatCode="0.0,,&quot; M€&quot;"/>
    <numFmt numFmtId="625" formatCode="_(* #,##0.00_);_(* \(#,##0.00\);_(* &quot;-&quot;??_);_(@_)"/>
    <numFmt numFmtId="626" formatCode="_(* #,##0_);_(* \(#,##0\);_(* &quot;-&quot;_);_(@_)"/>
    <numFmt numFmtId="627" formatCode="_(&quot;€&quot;* #,##0.00_);_(&quot;€&quot;* \(#,##0.00\);_(&quot;€&quot;* &quot;-&quot;??_);_(@_)"/>
    <numFmt numFmtId="628" formatCode="_(&quot;€&quot;* #,##0_);_(&quot;€&quot;* \(#,##0\);_(&quot;€&quot;* &quot;-&quot;_);_(@_)"/>
    <numFmt numFmtId="629" formatCode="#.###."/>
  </numFmts>
  <fonts count="83">
    <font>
      <b val="0"/>
      <i val="0"/>
      <sz val="11"/>
      <color theme="1"/>
      <name val="Calibri"/>
      <scheme val="minor"/>
    </font>
    <font>
      <b val="0"/>
      <i val="0"/>
      <sz val="11"/>
      <color theme="0"/>
      <name val="Aptos Narrow"/>
      <scheme val="minor"/>
    </font>
    <font>
      <b val="0"/>
      <i val="0"/>
      <sz val="8"/>
      <color theme="3"/>
      <name val="Tahoma"/>
    </font>
    <font>
      <b val="0"/>
      <i val="0"/>
      <sz val="11"/>
      <color theme="3"/>
      <name val="Calibri"/>
      <scheme val="minor"/>
    </font>
    <font>
      <b val="0"/>
      <i val="0"/>
      <sz val="8"/>
      <color theme="0"/>
      <name val="Tahoma"/>
    </font>
    <font>
      <b/>
      <i val="0"/>
      <sz val="8"/>
      <color theme="3"/>
      <name val="Tahoma"/>
    </font>
    <font>
      <b/>
      <i/>
      <sz val="8"/>
      <color theme="3"/>
      <name val="Tahoma"/>
    </font>
    <font>
      <b val="0"/>
      <i val="0"/>
      <u/>
      <sz val="8"/>
      <color theme="3"/>
      <name val="Tahoma"/>
    </font>
    <font>
      <b val="0"/>
      <i val="0"/>
      <sz val="8"/>
      <color auto="1"/>
      <name val="Tahoma"/>
    </font>
    <font>
      <b val="0"/>
      <i val="0"/>
      <sz val="11"/>
      <color rgb="FF9C6500"/>
      <name val="Aptos Narrow"/>
      <scheme val="minor"/>
    </font>
    <font>
      <b val="0"/>
      <i val="0"/>
      <sz val="11"/>
      <color theme="1"/>
      <name val="Aptos Narrow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theme="3"/>
      <name val="Tahoma"/>
    </font>
    <font>
      <b val="0"/>
      <i val="0"/>
      <sz val="10"/>
      <color theme="3"/>
      <name val="Webdings"/>
    </font>
    <font>
      <b/>
      <i val="0"/>
      <sz val="18"/>
      <color theme="3"/>
      <name val="Aptos Display"/>
      <scheme val="major"/>
    </font>
    <font>
      <b val="0"/>
      <i val="0"/>
      <sz val="8"/>
      <color rgb="FFFF0000"/>
      <name val="Webdings"/>
    </font>
    <font>
      <b val="0"/>
      <i val="0"/>
      <sz val="14"/>
      <color rgb="FFFF0000"/>
      <name val="Webdings"/>
    </font>
    <font>
      <b val="0"/>
      <i val="0"/>
      <sz val="8"/>
      <color theme="1"/>
      <name val="Webdings"/>
    </font>
    <font>
      <b val="0"/>
      <i val="0"/>
      <sz val="14"/>
      <color rgb="FF00B050"/>
      <name val="Webdings"/>
    </font>
    <font>
      <b val="0"/>
      <i val="0"/>
      <sz val="8.5"/>
      <color rgb="FF202733"/>
      <name val="Arial"/>
    </font>
    <font>
      <b/>
      <i val="0"/>
      <sz val="8"/>
      <color rgb="FFFFFFFF"/>
      <name val="Fira Sans Medium"/>
    </font>
    <font>
      <b/>
      <i val="0"/>
      <sz val="10"/>
      <color rgb="FF202733"/>
      <name val="Fira Sans Medium"/>
    </font>
    <font>
      <b val="0"/>
      <i/>
      <sz val="7.5"/>
      <color rgb="FF69778B"/>
      <name val="Arial"/>
    </font>
    <font>
      <b val="0"/>
      <i val="0"/>
      <sz val="8.5"/>
      <color rgb="FF69778B"/>
      <name val="Arial"/>
    </font>
    <font>
      <b/>
      <i val="0"/>
      <sz val="15"/>
      <color rgb="FFFFFFFF"/>
      <name val="Fira Sans Medium"/>
    </font>
    <font>
      <b val="0"/>
      <i val="0"/>
      <sz val="8"/>
      <color rgb="FFB8C6DA"/>
      <name val="Arial"/>
    </font>
    <font>
      <b/>
      <i val="0"/>
      <sz val="14"/>
      <color rgb="FF202733"/>
      <name val="Fira Sans Medium"/>
    </font>
    <font>
      <b val="0"/>
      <i/>
      <sz val="8.5"/>
      <color rgb="FF69778B"/>
      <name val="Arial"/>
    </font>
    <font>
      <b/>
      <i val="0"/>
      <sz val="9"/>
      <color rgb="FF202733"/>
      <name val="Arial"/>
    </font>
    <font>
      <b val="0"/>
      <i val="0"/>
      <sz val="9"/>
      <color rgb="FF202733"/>
      <name val="Arial"/>
    </font>
    <font>
      <b/>
      <i val="0"/>
      <sz val="8.5"/>
      <color rgb="FF69778B"/>
      <name val="Arial"/>
    </font>
    <font>
      <b/>
      <i val="0"/>
      <sz val="11"/>
      <color rgb="FF1E9E89"/>
      <name val="Arial"/>
    </font>
    <font>
      <b/>
      <i val="0"/>
      <sz val="8.5"/>
      <color rgb="FF202733"/>
      <name val="Arial"/>
    </font>
    <font>
      <b/>
      <i val="0"/>
      <sz val="13"/>
      <color rgb="FF202733"/>
      <name val="Fira Sans Medium"/>
    </font>
    <font>
      <b/>
      <i val="0"/>
      <sz val="11"/>
      <color rgb="FF2A78D6"/>
      <name val="Arial"/>
    </font>
    <font>
      <b/>
      <i val="0"/>
      <sz val="9"/>
      <color rgb="FF2A78D6"/>
      <name val="Arial"/>
    </font>
    <font>
      <b/>
      <i val="0"/>
      <sz val="9"/>
      <color rgb="FF1E9E89"/>
      <name val="Arial"/>
    </font>
    <font>
      <b/>
      <i val="0"/>
      <sz val="9"/>
      <color rgb="FFD64545"/>
      <name val="Arial"/>
    </font>
    <font>
      <b val="0"/>
      <i val="0"/>
      <sz val="11"/>
      <color rgb="FFF3F6FA"/>
      <name val="Aptos Narrow"/>
      <scheme val="minor"/>
    </font>
    <font>
      <b val="0"/>
      <i val="0"/>
      <sz val="7.5"/>
      <color rgb="FFA6D0EA"/>
      <name val="Arial"/>
    </font>
    <font>
      <b val="0"/>
      <i val="0"/>
      <sz val="11"/>
      <color auto="1"/>
      <name val="Aptos Narrow"/>
      <scheme val="minor"/>
    </font>
    <font>
      <b/>
      <i val="0"/>
      <sz val="14"/>
      <color rgb="FFFFFFFF"/>
      <name val="Arial"/>
    </font>
    <font>
      <b/>
      <i val="0"/>
      <sz val="20"/>
      <color theme="4" tint="-0.5"/>
      <name val="Montserrat ExtraBold"/>
    </font>
    <font>
      <b/>
      <i val="0"/>
      <sz val="14"/>
      <color theme="1"/>
      <name val="Aptos Narrow"/>
    </font>
    <font>
      <b/>
      <i val="0"/>
      <sz val="18"/>
      <color theme="4" tint="-0.5"/>
      <name val="Montserrat ExtraBold"/>
    </font>
    <font>
      <b/>
      <i val="0"/>
      <sz val="10"/>
      <color rgb="FF007AC3"/>
      <name val="Arial"/>
    </font>
    <font>
      <b/>
      <i/>
      <sz val="11"/>
      <color theme="1"/>
      <name val="Aptos Narrow"/>
      <scheme val="minor"/>
    </font>
    <font>
      <b/>
      <i val="0"/>
      <sz val="11"/>
      <color theme="1"/>
      <name val="Aptos Narrow"/>
      <scheme val="minor"/>
    </font>
    <font>
      <b/>
      <i val="0"/>
      <sz val="18"/>
      <color rgb="FF202733"/>
      <name val="Fira Sans Medium"/>
    </font>
    <font>
      <b/>
      <i val="0"/>
      <sz val="9"/>
      <color rgb="FF69778B"/>
      <name val="Arial"/>
    </font>
    <font>
      <b/>
      <i val="0"/>
      <sz val="9"/>
      <color rgb="FF202733"/>
      <name val="Fira Sans Medium"/>
    </font>
    <font>
      <b val="0"/>
      <i val="0"/>
      <sz val="8"/>
      <color theme="3"/>
      <name val="Tahoma"/>
    </font>
    <font>
      <b val="0"/>
      <i val="0"/>
      <sz val="7.5"/>
      <color rgb="FF69778B"/>
      <name val="Arial"/>
    </font>
    <font>
      <b val="0"/>
      <i val="0"/>
      <sz val="8"/>
      <color rgb="FF69778B"/>
      <name val="Arial"/>
    </font>
    <font>
      <b val="0"/>
      <i val="0"/>
      <sz val="12"/>
      <color theme="1"/>
      <name val="Aptos Narrow"/>
      <scheme val="minor"/>
    </font>
    <font>
      <b/>
      <i val="0"/>
      <sz val="12"/>
      <color rgb="FFFFFFFF"/>
      <name val="Fira Sans Medium"/>
    </font>
    <font>
      <b val="0"/>
      <i val="0"/>
      <sz val="12"/>
      <color theme="3"/>
      <name val="Tahoma"/>
    </font>
    <font>
      <b val="0"/>
      <i val="0"/>
      <sz val="12"/>
      <color rgb="FFF3F6FA"/>
      <name val="Aptos Narrow"/>
      <scheme val="minor"/>
    </font>
    <font>
      <b val="0"/>
      <i val="0"/>
      <sz val="11"/>
      <color rgb="FF202733"/>
      <name val="Arial"/>
    </font>
    <font>
      <b val="0"/>
      <i val="0"/>
      <sz val="11"/>
      <color rgb="FF69778B"/>
      <name val="Arial"/>
    </font>
    <font>
      <b/>
      <i val="0"/>
      <sz val="11"/>
      <color rgb="FF202733"/>
      <name val="Fira Sans Medium"/>
    </font>
    <font>
      <b/>
      <i val="0"/>
      <sz val="12"/>
      <color rgb="FF526071"/>
      <name val="Arial"/>
    </font>
    <font>
      <b/>
      <i val="0"/>
      <sz val="12"/>
      <color rgb="FF202733"/>
      <name val="Fira Sans Medium"/>
    </font>
    <font>
      <b/>
      <i val="0"/>
      <sz val="8"/>
      <color theme="0"/>
      <name val="Arial"/>
    </font>
    <font>
      <b/>
      <i/>
      <sz val="11"/>
      <color theme="0"/>
      <name val="Aptos Narrow"/>
      <scheme val="minor"/>
    </font>
    <font>
      <b/>
      <i val="0"/>
      <sz val="11"/>
      <color theme="0"/>
      <name val="Aptos Narrow"/>
      <scheme val="minor"/>
    </font>
    <font>
      <b/>
      <i val="0"/>
      <sz val="8.5"/>
      <color theme="0"/>
      <name val="Arial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6500"/>
      <name val="Calibri"/>
      <scheme val="minor"/>
    </font>
    <font>
      <b/>
      <i val="0"/>
      <sz val="11"/>
      <color rgb="FF3F3F3F"/>
      <name val="Calibri"/>
      <scheme val="minor"/>
    </font>
    <font>
      <b/>
      <i/>
      <sz val="11"/>
      <color theme="1"/>
      <name val="Calibri"/>
      <scheme val="minor"/>
    </font>
    <font>
      <b/>
      <i val="0"/>
      <sz val="18"/>
      <color theme="3"/>
      <name val="Cambria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0"/>
      </patternFill>
    </fill>
    <fill>
      <patternFill patternType="solid">
        <fgColor rgb="FFF8F8F2"/>
      </patternFill>
    </fill>
    <fill>
      <patternFill patternType="solid">
        <fgColor theme="3" tint="0.8"/>
      </patternFill>
    </fill>
    <fill>
      <patternFill patternType="solid">
        <fgColor rgb="FFFFEB9C"/>
      </patternFill>
    </fill>
    <fill>
      <patternFill patternType="solid">
        <fgColor theme="0" tint="-0.05"/>
      </patternFill>
    </fill>
    <fill>
      <patternFill patternType="solid">
        <fgColor rgb="FFEAF0F6"/>
      </patternFill>
    </fill>
    <fill>
      <patternFill patternType="solid">
        <fgColor rgb="FFF3F6FA"/>
      </patternFill>
    </fill>
    <fill>
      <patternFill patternType="solid">
        <fgColor rgb="FF526071"/>
      </patternFill>
    </fill>
    <fill>
      <patternFill patternType="solid">
        <fgColor rgb="FFFFFFFF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EAF2FC"/>
      </patternFill>
    </fill>
    <fill>
      <patternFill patternType="solid">
        <fgColor rgb="FFFFF1E8"/>
      </patternFill>
    </fill>
    <fill>
      <patternFill patternType="solid">
        <fgColor rgb="FF007AC3"/>
      </patternFill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8">
    <border>
      <left/>
      <right/>
      <top/>
      <bottom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5"/>
      </bottom>
      <diagonal/>
    </border>
    <border>
      <left/>
      <right/>
      <top/>
      <bottom style="thin">
        <color theme="3" tint="0.8"/>
      </bottom>
      <diagonal/>
    </border>
    <border>
      <left/>
      <right/>
      <top/>
      <bottom style="thick">
        <color theme="3" tint="0.4"/>
      </bottom>
      <diagonal/>
    </border>
    <border>
      <left style="thin">
        <color theme="0"/>
      </left>
      <right style="thin">
        <color theme="0"/>
      </right>
      <top/>
      <bottom style="thin">
        <color theme="3" tint="0.8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8"/>
      </top>
      <bottom style="thin">
        <color theme="3" tint="0.8"/>
      </bottom>
      <diagonal/>
    </border>
    <border>
      <left/>
      <right/>
      <top/>
      <bottom style="medium">
        <color theme="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/>
      <bottom style="thin">
        <color rgb="FFE9EDF3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/>
      <bottom style="thin">
        <color rgb="FFD5D7DA"/>
      </bottom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3" tint="0.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3" tint="0.8"/>
      </bottom>
      <diagonal/>
    </border>
  </borders>
  <cellStyleXfs count="112">
    <xf numFmtId="0" fontId="0" fillId="0" borderId="1"/>
    <xf numFmtId="9" fontId="0" fillId="0" borderId="1" applyFont="0" applyFill="0" applyBorder="0" applyAlignment="0" applyProtection="0"/>
    <xf numFmtId="570" fontId="0" fillId="0" borderId="1" applyFont="0" applyFill="0" applyBorder="0">
      <alignment horizontal="center" vertical="bottom"/>
    </xf>
    <xf numFmtId="10" fontId="0" fillId="0" borderId="1" applyFont="0" applyFill="0" applyBorder="0" applyAlignment="0"/>
    <xf numFmtId="0" fontId="1" fillId="2" borderId="1" applyBorder="0" applyNumberFormat="0" applyAlignment="0" applyProtection="0"/>
    <xf numFmtId="0" fontId="1" fillId="3" borderId="1" applyBorder="0" applyNumberFormat="0" applyAlignment="0" applyProtection="0"/>
    <xf numFmtId="0" fontId="1" fillId="4" borderId="1" applyBorder="0" applyNumberFormat="0" applyAlignment="0" applyProtection="0"/>
    <xf numFmtId="0" fontId="1" fillId="5" borderId="1" applyBorder="0" applyNumberFormat="0" applyAlignment="0" applyProtection="0"/>
    <xf numFmtId="0" fontId="1" fillId="6" borderId="1" applyBorder="0" applyNumberFormat="0" applyAlignment="0" applyProtection="0"/>
    <xf numFmtId="0" fontId="1" fillId="7" borderId="1" applyBorder="0" applyNumberFormat="0" applyAlignment="0" applyProtection="0"/>
    <xf numFmtId="571" fontId="2" fillId="8" borderId="2" applyNumberFormat="0" applyProtection="0">
      <alignment horizontal="center" vertical="center" wrapText="1"/>
    </xf>
    <xf numFmtId="9" fontId="0" fillId="0" borderId="1" applyFont="0" applyFill="0" applyBorder="0" applyNumberFormat="0" applyProtection="0">
      <alignment horizontal="center" vertical="center"/>
    </xf>
    <xf numFmtId="9" fontId="0" fillId="0" borderId="1" applyFont="0" applyFill="0" applyBorder="0" applyNumberFormat="0" applyProtection="0">
      <alignment horizontal="left" vertical="center"/>
    </xf>
    <xf numFmtId="9" fontId="0" fillId="0" borderId="1" applyFont="0" applyFill="0" applyBorder="0" applyNumberFormat="0" applyProtection="0">
      <alignment horizontal="left" vertical="center" wrapText="1"/>
    </xf>
    <xf numFmtId="2" fontId="3" fillId="0" borderId="1" applyFont="0" applyFill="0" applyBorder="0" applyAlignment="0" applyProtection="0">
      <alignment horizontal="left" vertical="bottom"/>
    </xf>
    <xf numFmtId="9" fontId="0" fillId="0" borderId="3" applyFont="0" applyFill="0" applyNumberFormat="0" applyAlignment="0"/>
    <xf numFmtId="572" fontId="0" fillId="0" borderId="1" applyFont="0" applyFill="0" applyBorder="0" applyAlignment="0"/>
    <xf numFmtId="571" fontId="2" fillId="0" borderId="4" applyFill="0" applyNumberFormat="0" applyProtection="0">
      <alignment horizontal="center" vertical="center" wrapText="1"/>
    </xf>
    <xf numFmtId="9" fontId="4" fillId="0" borderId="1" applyFill="0" applyNumberFormat="0" applyAlignment="0"/>
    <xf numFmtId="9" fontId="5" fillId="0" borderId="1" applyFill="0" applyBorder="0" applyNumberFormat="0" applyAlignment="0" applyProtection="0"/>
    <xf numFmtId="9" fontId="6" fillId="0" borderId="1" applyFill="0" applyBorder="0" applyNumberFormat="0" applyAlignment="0" applyProtection="0"/>
    <xf numFmtId="571" fontId="0" fillId="9" borderId="5" applyFont="0" applyNumberFormat="0" applyAlignment="0"/>
    <xf numFmtId="0" fontId="2" fillId="8" borderId="6">
      <alignment horizontal="center" vertical="center" wrapText="1"/>
    </xf>
    <xf numFmtId="575" fontId="0" fillId="0" borderId="1" applyFont="0" applyFill="0" applyBorder="0" applyAlignment="0"/>
    <xf numFmtId="9" fontId="0" fillId="10" borderId="1" applyFont="0" applyBorder="0" applyNumberFormat="0" applyAlignment="0" applyProtection="0"/>
    <xf numFmtId="571" fontId="5" fillId="0" borderId="1" applyFill="0" applyBorder="0" applyNumberFormat="0" applyProtection="0">
      <alignment horizontal="right" vertical="bottom"/>
    </xf>
    <xf numFmtId="0" fontId="2" fillId="0" borderId="3" applyFill="0" applyNumberFormat="0">
      <alignment horizontal="left" vertical="center"/>
    </xf>
    <xf numFmtId="9" fontId="7" fillId="0" borderId="1" applyFill="0" applyBorder="0" applyNumberFormat="0" applyAlignment="0"/>
    <xf numFmtId="0" fontId="0" fillId="0" borderId="1" applyFont="0" applyFill="0" applyBorder="0" applyNumberFormat="0">
      <alignment horizontal="center" vertical="center" wrapText="1"/>
    </xf>
    <xf numFmtId="577" fontId="2" fillId="0" borderId="1"/>
    <xf numFmtId="578" fontId="8" fillId="0" borderId="1" applyBorder="0">
      <alignment horizontal="center" vertical="bottom"/>
    </xf>
    <xf numFmtId="0" fontId="9" fillId="11" borderId="1" applyBorder="0" applyNumberFormat="0" applyAlignment="0" applyProtection="0"/>
    <xf numFmtId="0" fontId="10" fillId="0" borderId="1"/>
    <xf numFmtId="0" fontId="2" fillId="0" borderId="5" applyFill="0" applyNumberFormat="0" applyAlignment="0"/>
    <xf numFmtId="9" fontId="5" fillId="0" borderId="7" applyFill="0" applyNumberFormat="0"/>
    <xf numFmtId="9" fontId="11" fillId="8" borderId="8" applyNumberFormat="0" applyAlignment="0"/>
    <xf numFmtId="3" fontId="2" fillId="0" borderId="1" applyFill="0" applyBorder="0" applyProtection="0">
      <alignment horizontal="right" vertical="center"/>
    </xf>
    <xf numFmtId="37" fontId="12" fillId="0" borderId="1" applyFill="0" applyBorder="0" applyProtection="0">
      <alignment horizontal="right" vertical="center"/>
    </xf>
    <xf numFmtId="571" fontId="2" fillId="0" borderId="1" applyFill="0" applyBorder="0" applyNumberFormat="0" applyProtection="0">
      <alignment horizontal="left" vertical="bottom"/>
    </xf>
    <xf numFmtId="0" fontId="2" fillId="0" borderId="1" applyFill="0" applyBorder="0" applyNumberFormat="0" applyProtection="0">
      <alignment horizontal="right" vertical="center" wrapText="1"/>
    </xf>
    <xf numFmtId="9" fontId="0" fillId="12" borderId="1" applyFont="0" applyNumberFormat="0" applyAlignment="0" applyProtection="0"/>
    <xf numFmtId="9" fontId="13" fillId="0" borderId="1" applyFill="0" applyBorder="0" applyNumberFormat="0" applyAlignment="0"/>
    <xf numFmtId="9" fontId="0" fillId="0" borderId="1"/>
    <xf numFmtId="9" fontId="5" fillId="13" borderId="1" applyBorder="0" applyNumberFormat="0" applyProtection="0">
      <alignment horizontal="right" vertical="center"/>
    </xf>
    <xf numFmtId="9" fontId="5" fillId="13" borderId="1" applyBorder="0" applyNumberFormat="0" applyProtection="0">
      <alignment horizontal="left" vertical="center" wrapText="1"/>
    </xf>
    <xf numFmtId="571" fontId="5" fillId="13" borderId="9" applyFill="0" applyBorder="0" applyNumberFormat="0" applyAlignment="0"/>
    <xf numFmtId="0" fontId="3" fillId="0" borderId="1" applyFill="0" applyBorder="0" applyNumberFormat="0" applyProtection="0">
      <alignment horizontal="right" vertical="bottom"/>
    </xf>
    <xf numFmtId="0" fontId="14" fillId="0" borderId="1" applyFill="0" applyBorder="0" applyNumberFormat="0" applyAlignment="0" applyProtection="0"/>
    <xf numFmtId="9" fontId="15" fillId="0" borderId="1" applyFill="0" applyBorder="0" applyProtection="0">
      <alignment horizontal="center" vertical="center"/>
    </xf>
    <xf numFmtId="0" fontId="16" fillId="0" borderId="1">
      <alignment horizontal="center" vertical="center"/>
    </xf>
    <xf numFmtId="1" fontId="17" fillId="0" borderId="1" applyFill="0" applyBorder="0" applyProtection="0">
      <alignment horizontal="center" vertical="center"/>
    </xf>
    <xf numFmtId="0" fontId="16" fillId="0" borderId="10" applyFill="0" applyProtection="0">
      <alignment horizontal="center" vertical="center"/>
    </xf>
    <xf numFmtId="0" fontId="18" fillId="0" borderId="10" applyFill="0" applyProtection="0">
      <alignment horizontal="center" vertical="bottom"/>
    </xf>
    <xf numFmtId="9" fontId="5" fillId="0" borderId="11" applyFill="0" applyNumberFormat="0">
      <alignment horizontal="left" vertical="bottom"/>
    </xf>
    <xf numFmtId="0" fontId="2" fillId="0" borderId="3">
      <alignment horizontal="left" vertical="top" wrapText="1"/>
      <protection locked="0"/>
    </xf>
    <xf numFmtId="0" fontId="0" fillId="22" borderId="1" applyBorder="0" applyNumberFormat="0" applyAlignment="0" applyProtection="0"/>
    <xf numFmtId="0" fontId="0" fillId="23" borderId="1" applyBorder="0" applyNumberFormat="0" applyAlignment="0" applyProtection="0"/>
    <xf numFmtId="0" fontId="0" fillId="24" borderId="1" applyBorder="0" applyNumberFormat="0" applyAlignment="0" applyProtection="0"/>
    <xf numFmtId="0" fontId="0" fillId="25" borderId="1" applyBorder="0" applyNumberFormat="0" applyAlignment="0" applyProtection="0"/>
    <xf numFmtId="0" fontId="0" fillId="26" borderId="1" applyBorder="0" applyNumberFormat="0" applyAlignment="0" applyProtection="0"/>
    <xf numFmtId="0" fontId="0" fillId="27" borderId="1" applyBorder="0" applyNumberFormat="0" applyAlignment="0" applyProtection="0"/>
    <xf numFmtId="0" fontId="0" fillId="28" borderId="1" applyBorder="0" applyNumberFormat="0" applyAlignment="0" applyProtection="0"/>
    <xf numFmtId="0" fontId="0" fillId="29" borderId="1" applyBorder="0" applyNumberFormat="0" applyAlignment="0" applyProtection="0"/>
    <xf numFmtId="0" fontId="0" fillId="30" borderId="1" applyBorder="0" applyNumberFormat="0" applyAlignment="0" applyProtection="0"/>
    <xf numFmtId="0" fontId="0" fillId="31" borderId="1" applyBorder="0" applyNumberFormat="0" applyAlignment="0" applyProtection="0"/>
    <xf numFmtId="0" fontId="0" fillId="32" borderId="1" applyBorder="0" applyNumberFormat="0" applyAlignment="0" applyProtection="0"/>
    <xf numFmtId="0" fontId="0" fillId="33" borderId="1" applyBorder="0" applyNumberFormat="0" applyAlignment="0" applyProtection="0"/>
    <xf numFmtId="0" fontId="11" fillId="2" borderId="1" applyBorder="0" applyNumberFormat="0" applyAlignment="0" applyProtection="0"/>
    <xf numFmtId="0" fontId="11" fillId="3" borderId="1" applyBorder="0" applyNumberFormat="0" applyAlignment="0" applyProtection="0"/>
    <xf numFmtId="0" fontId="11" fillId="4" borderId="1" applyBorder="0" applyNumberFormat="0" applyAlignment="0" applyProtection="0"/>
    <xf numFmtId="0" fontId="11" fillId="5" borderId="1" applyBorder="0" applyNumberFormat="0" applyAlignment="0" applyProtection="0"/>
    <xf numFmtId="0" fontId="11" fillId="6" borderId="1" applyBorder="0" applyNumberFormat="0" applyAlignment="0" applyProtection="0"/>
    <xf numFmtId="0" fontId="11" fillId="7" borderId="1" applyBorder="0" applyNumberFormat="0" applyAlignment="0" applyProtection="0"/>
    <xf numFmtId="0" fontId="11" fillId="34" borderId="1" applyBorder="0" applyNumberFormat="0" applyAlignment="0" applyProtection="0"/>
    <xf numFmtId="0" fontId="11" fillId="35" borderId="1" applyBorder="0" applyNumberFormat="0" applyAlignment="0" applyProtection="0"/>
    <xf numFmtId="0" fontId="11" fillId="36" borderId="1" applyBorder="0" applyNumberFormat="0" applyAlignment="0" applyProtection="0"/>
    <xf numFmtId="0" fontId="11" fillId="37" borderId="1" applyBorder="0" applyNumberFormat="0" applyAlignment="0" applyProtection="0"/>
    <xf numFmtId="0" fontId="11" fillId="38" borderId="1" applyBorder="0" applyNumberFormat="0" applyAlignment="0" applyProtection="0"/>
    <xf numFmtId="0" fontId="11" fillId="39" borderId="1" applyBorder="0" applyNumberFormat="0" applyAlignment="0" applyProtection="0"/>
    <xf numFmtId="9" fontId="2" fillId="0" borderId="3" applyFill="0" applyNumberFormat="0" applyProtection="0">
      <alignment horizontal="right" vertical="center"/>
      <protection locked="0"/>
    </xf>
    <xf numFmtId="0" fontId="67" fillId="40" borderId="1" applyBorder="0" applyNumberFormat="0" applyAlignment="0" applyProtection="0"/>
    <xf numFmtId="0" fontId="68" fillId="41" borderId="27" applyNumberFormat="0" applyAlignment="0" applyProtection="0"/>
    <xf numFmtId="0" fontId="69" fillId="42" borderId="28" applyNumberFormat="0" applyAlignment="0" applyProtection="0"/>
    <xf numFmtId="625" fontId="0" fillId="0" borderId="1" applyFont="0" applyFill="0" applyBorder="0" applyAlignment="0" applyProtection="0"/>
    <xf numFmtId="626" fontId="0" fillId="0" borderId="1" applyFont="0" applyFill="0" applyBorder="0" applyAlignment="0" applyProtection="0"/>
    <xf numFmtId="627" fontId="0" fillId="0" borderId="1" applyFont="0" applyFill="0" applyBorder="0" applyAlignment="0" applyProtection="0"/>
    <xf numFmtId="628" fontId="0" fillId="0" borderId="1" applyFont="0" applyFill="0" applyBorder="0" applyAlignment="0" applyProtection="0"/>
    <xf numFmtId="0" fontId="70" fillId="0" borderId="1" applyFill="0" applyBorder="0" applyNumberFormat="0" applyAlignment="0" applyProtection="0"/>
    <xf numFmtId="0" fontId="71" fillId="43" borderId="1" applyBorder="0" applyNumberFormat="0" applyAlignment="0" applyProtection="0"/>
    <xf numFmtId="0" fontId="72" fillId="0" borderId="29" applyFill="0" applyNumberFormat="0" applyAlignment="0" applyProtection="0"/>
    <xf numFmtId="0" fontId="73" fillId="0" borderId="30" applyFill="0" applyNumberFormat="0" applyAlignment="0" applyProtection="0"/>
    <xf numFmtId="0" fontId="74" fillId="0" borderId="31" applyFill="0" applyNumberFormat="0" applyAlignment="0" applyProtection="0"/>
    <xf numFmtId="0" fontId="74" fillId="0" borderId="1" applyFill="0" applyBorder="0" applyNumberFormat="0" applyAlignment="0" applyProtection="0"/>
    <xf numFmtId="0" fontId="75" fillId="44" borderId="27" applyNumberFormat="0" applyAlignment="0" applyProtection="0"/>
    <xf numFmtId="0" fontId="76" fillId="0" borderId="32" applyFill="0" applyNumberFormat="0" applyAlignment="0" applyProtection="0"/>
    <xf numFmtId="0" fontId="77" fillId="11" borderId="1" applyBorder="0" applyNumberFormat="0" applyAlignment="0" applyProtection="0"/>
    <xf numFmtId="0" fontId="0" fillId="45" borderId="33" applyFont="0" applyNumberFormat="0" applyAlignment="0" applyProtection="0"/>
    <xf numFmtId="0" fontId="78" fillId="41" borderId="34" applyNumberFormat="0" applyAlignment="0" applyProtection="0"/>
    <xf numFmtId="9" fontId="5" fillId="0" borderId="1" applyFill="0" applyNumberFormat="0"/>
    <xf numFmtId="629" fontId="5" fillId="13" borderId="35" applyFill="0" applyBorder="0" applyNumberFormat="0">
      <alignment horizontal="left" vertical="center"/>
    </xf>
    <xf numFmtId="9" fontId="5" fillId="13" borderId="7" applyFill="0" applyNumberFormat="0">
      <alignment horizontal="center" vertical="center" wrapText="1"/>
    </xf>
    <xf numFmtId="0" fontId="79" fillId="0" borderId="1" applyFont="0" applyFill="0" applyBorder="0" applyNumberFormat="0" applyProtection="0">
      <alignment horizontal="left" vertical="bottom" indent="2"/>
    </xf>
    <xf numFmtId="0" fontId="79" fillId="0" borderId="1" applyFill="0" applyBorder="0" applyNumberFormat="0" applyProtection="0">
      <alignment horizontal="left" vertical="bottom" indent="1"/>
    </xf>
    <xf numFmtId="0" fontId="80" fillId="0" borderId="1" applyFill="0" applyBorder="0" applyNumberFormat="0" applyAlignment="0" applyProtection="0"/>
    <xf numFmtId="0" fontId="81" fillId="0" borderId="36" applyFill="0" applyNumberFormat="0" applyAlignment="0" applyProtection="0"/>
    <xf numFmtId="571" fontId="5" fillId="13" borderId="37" applyNumberFormat="0">
      <alignment horizontal="right" vertical="bottom"/>
    </xf>
    <xf numFmtId="9" fontId="2" fillId="13" borderId="3" applyBorder="0" applyNumberFormat="0">
      <alignment horizontal="right" vertical="center"/>
    </xf>
    <xf numFmtId="9" fontId="5" fillId="13" borderId="3" applyNumberFormat="0">
      <alignment horizontal="right" vertical="center"/>
    </xf>
    <xf numFmtId="49" fontId="5" fillId="13" borderId="37">
      <alignment horizontal="left" vertical="bottom"/>
    </xf>
    <xf numFmtId="9" fontId="2" fillId="13" borderId="7" applyNumberFormat="0">
      <alignment horizontal="center" vertical="center" wrapText="1"/>
    </xf>
    <xf numFmtId="9" fontId="5" fillId="13" borderId="3" applyNumberFormat="0">
      <alignment horizontal="left" vertical="center" wrapText="1"/>
    </xf>
    <xf numFmtId="0" fontId="82" fillId="0" borderId="1" applyFill="0" applyBorder="0" applyNumberFormat="0" applyAlignment="0" applyProtection="0"/>
  </cellStyleXfs>
  <cellXfs count="145">
    <xf numFmtId="0" fontId="0" fillId="0" borderId="1" xfId="0"/>
    <xf numFmtId="0" fontId="39" fillId="8" borderId="1" xfId="0">
      <alignment horizontal="left" vertical="center" indent="4"/>
    </xf>
    <xf numFmtId="0" fontId="40" fillId="8" borderId="1" xfId="0"/>
    <xf numFmtId="0" fontId="1" fillId="8" borderId="1" xfId="0"/>
    <xf numFmtId="0" fontId="41" fillId="8" borderId="1" xfId="0">
      <alignment horizontal="left" vertical="center" indent="4"/>
    </xf>
    <xf numFmtId="0" fontId="42" fillId="8" borderId="1" xfId="0">
      <alignment horizontal="left" vertical="center"/>
    </xf>
    <xf numFmtId="0" fontId="43" fillId="8" borderId="1" xfId="0">
      <alignment horizontal="centerContinuous" vertical="center"/>
    </xf>
    <xf numFmtId="0" fontId="44" fillId="8" borderId="1" xfId="0">
      <alignment horizontal="left" vertical="center"/>
    </xf>
    <xf numFmtId="0" fontId="10" fillId="21" borderId="1" xfId="0"/>
    <xf numFmtId="0" fontId="10" fillId="21" borderId="1" xfId="0">
      <alignment horizontal="left" vertical="bottom" indent="4"/>
    </xf>
    <xf numFmtId="0" fontId="10" fillId="21" borderId="1" xfId="0" quotePrefix="1"/>
    <xf numFmtId="0" fontId="10" fillId="8" borderId="1" xfId="0">
      <alignment horizontal="left" vertical="bottom" indent="4"/>
    </xf>
    <xf numFmtId="0" fontId="10" fillId="8" borderId="1" xfId="0" quotePrefix="1"/>
    <xf numFmtId="0" fontId="10" fillId="8" borderId="1" xfId="0">
      <alignment vertical="center"/>
    </xf>
    <xf numFmtId="0" fontId="45" fillId="8" borderId="18" xfId="0" quotePrefix="1">
      <alignment horizontal="center" vertical="center"/>
    </xf>
    <xf numFmtId="0" fontId="10" fillId="8" borderId="1" xfId="0"/>
    <xf numFmtId="0" fontId="10" fillId="8" borderId="19" xfId="0">
      <alignment vertical="center"/>
    </xf>
    <xf numFmtId="0" fontId="46" fillId="8" borderId="1" xfId="0" quotePrefix="1"/>
    <xf numFmtId="0" fontId="47" fillId="8" borderId="1" xfId="0" quotePrefix="1"/>
    <xf numFmtId="0" fontId="10" fillId="8" borderId="1" xfId="0"/>
    <xf numFmtId="0" fontId="54" fillId="8" borderId="1" xfId="0"/>
    <xf numFmtId="0" fontId="61" fillId="8" borderId="25" xfId="32">
      <alignment horizontal="centerContinuous" vertical="center"/>
    </xf>
    <xf numFmtId="0" fontId="61" fillId="8" borderId="24" xfId="32">
      <alignment horizontal="centerContinuous" vertical="center"/>
    </xf>
    <xf numFmtId="0" fontId="61" fillId="8" borderId="26" xfId="32">
      <alignment vertical="center"/>
    </xf>
    <xf numFmtId="0" fontId="61" fillId="8" borderId="25" xfId="32">
      <alignment horizontal="left" vertical="center"/>
    </xf>
    <xf numFmtId="0" fontId="61" fillId="8" borderId="26" xfId="32">
      <alignment horizontal="centerContinuous" vertical="center"/>
    </xf>
    <xf numFmtId="0" fontId="61" fillId="8" borderId="25" xfId="32">
      <alignment horizontal="left" vertical="center" indent="1"/>
    </xf>
    <xf numFmtId="0" fontId="61" fillId="8" borderId="26" xfId="32">
      <alignment horizontal="left" vertical="center" indent="1"/>
    </xf>
    <xf numFmtId="0" fontId="61" fillId="8" borderId="25" xfId="0">
      <alignment horizontal="left" vertical="center" indent="1"/>
    </xf>
    <xf numFmtId="0" fontId="61" fillId="8" borderId="26" xfId="0">
      <alignment horizontal="left" vertical="center" indent="1"/>
    </xf>
    <xf numFmtId="0" fontId="54" fillId="8" borderId="26" xfId="0"/>
    <xf numFmtId="615" fontId="48" fillId="8" borderId="20" xfId="32">
      <alignment horizontal="centerContinuous" vertical="center"/>
    </xf>
    <xf numFmtId="615" fontId="48" fillId="8" borderId="1" xfId="32">
      <alignment horizontal="centerContinuous" vertical="center"/>
    </xf>
    <xf numFmtId="615" fontId="48" fillId="8" borderId="21" xfId="32">
      <alignment vertical="center"/>
    </xf>
    <xf numFmtId="615" fontId="48" fillId="8" borderId="21" xfId="32">
      <alignment horizontal="centerContinuous" vertical="center"/>
    </xf>
    <xf numFmtId="570" fontId="48" fillId="8" borderId="20" xfId="32">
      <alignment horizontal="left" vertical="center" indent="1"/>
    </xf>
    <xf numFmtId="570" fontId="48" fillId="8" borderId="21" xfId="32">
      <alignment horizontal="left" vertical="center" indent="1"/>
    </xf>
    <xf numFmtId="3" fontId="48" fillId="8" borderId="20" xfId="32">
      <alignment horizontal="left" vertical="center" indent="1"/>
    </xf>
    <xf numFmtId="3" fontId="48" fillId="8" borderId="21" xfId="32">
      <alignment horizontal="left" vertical="center" indent="1"/>
    </xf>
    <xf numFmtId="583" fontId="48" fillId="8" borderId="20" xfId="32">
      <alignment horizontal="left" vertical="center" indent="1"/>
    </xf>
    <xf numFmtId="583" fontId="48" fillId="8" borderId="21" xfId="32">
      <alignment horizontal="left" vertical="center" indent="1"/>
    </xf>
    <xf numFmtId="570" fontId="48" fillId="8" borderId="20" xfId="0">
      <alignment horizontal="left" vertical="center" indent="1"/>
    </xf>
    <xf numFmtId="570" fontId="48" fillId="8" borderId="21" xfId="0">
      <alignment horizontal="left" vertical="center" indent="1"/>
    </xf>
    <xf numFmtId="0" fontId="10" fillId="8" borderId="21" xfId="0"/>
    <xf numFmtId="600" fontId="49" fillId="8" borderId="22" xfId="32">
      <alignment horizontal="centerContinuous" vertical="center"/>
    </xf>
    <xf numFmtId="600" fontId="49" fillId="8" borderId="13" xfId="32">
      <alignment horizontal="centerContinuous" vertical="center"/>
    </xf>
    <xf numFmtId="601" fontId="30" fillId="8" borderId="23" xfId="32">
      <alignment vertical="center"/>
    </xf>
    <xf numFmtId="601" fontId="30" fillId="8" borderId="23" xfId="32">
      <alignment horizontal="centerContinuous" vertical="center"/>
    </xf>
    <xf numFmtId="602" fontId="49" fillId="8" borderId="22" xfId="32">
      <alignment horizontal="left" vertical="center" indent="1"/>
    </xf>
    <xf numFmtId="603" fontId="30" fillId="8" borderId="23" xfId="32">
      <alignment horizontal="left" vertical="center" indent="1"/>
    </xf>
    <xf numFmtId="600" fontId="49" fillId="8" borderId="22" xfId="32">
      <alignment horizontal="left" vertical="center" indent="1"/>
    </xf>
    <xf numFmtId="601" fontId="30" fillId="8" borderId="23" xfId="32">
      <alignment horizontal="left" vertical="center" indent="1"/>
    </xf>
    <xf numFmtId="604" fontId="49" fillId="8" borderId="22" xfId="0">
      <alignment horizontal="left" vertical="center" indent="1"/>
    </xf>
    <xf numFmtId="605" fontId="30" fillId="8" borderId="23" xfId="0">
      <alignment horizontal="left" vertical="center" indent="1"/>
    </xf>
    <xf numFmtId="0" fontId="10" fillId="8" borderId="23" xfId="0"/>
    <xf numFmtId="0" fontId="62" fillId="8" borderId="25" xfId="0">
      <alignment horizontal="left" vertical="center" indent="2"/>
    </xf>
    <xf numFmtId="0" fontId="50" fillId="8" borderId="24" xfId="0">
      <alignment horizontal="left" vertical="center" indent="2"/>
    </xf>
    <xf numFmtId="0" fontId="10" fillId="8" borderId="24" xfId="0"/>
    <xf numFmtId="0" fontId="22" fillId="8" borderId="24" xfId="0">
      <alignment horizontal="right" vertical="center"/>
    </xf>
    <xf numFmtId="0" fontId="62" fillId="8" borderId="24" xfId="0">
      <alignment horizontal="left" vertical="center" indent="2"/>
    </xf>
    <xf numFmtId="0" fontId="60" fillId="8" borderId="25" xfId="0">
      <alignment horizontal="left" vertical="center" indent="2"/>
    </xf>
    <xf numFmtId="0" fontId="10" fillId="8" borderId="20" xfId="0"/>
    <xf numFmtId="0" fontId="10" fillId="8" borderId="22" xfId="0"/>
    <xf numFmtId="0" fontId="10" fillId="8" borderId="13" xfId="0"/>
    <xf numFmtId="0" fontId="38" fillId="8" borderId="1" xfId="0"/>
    <xf numFmtId="0" fontId="55" fillId="15" borderId="12" xfId="22" quotePrefix="1">
      <alignment horizontal="left" vertical="center" indent="1"/>
    </xf>
    <xf numFmtId="0" fontId="55" fillId="15" borderId="12" xfId="22" quotePrefix="1">
      <alignment horizontal="center" vertical="center"/>
    </xf>
    <xf numFmtId="0" fontId="55" fillId="15" borderId="12" xfId="0">
      <alignment horizontal="center" vertical="center"/>
    </xf>
    <xf numFmtId="0" fontId="55" fillId="8" borderId="12" xfId="0">
      <alignment horizontal="center" vertical="center"/>
    </xf>
    <xf numFmtId="0" fontId="56" fillId="8" borderId="6" xfId="22" quotePrefix="1">
      <alignment horizontal="center" vertical="center" wrapText="1"/>
    </xf>
    <xf numFmtId="0" fontId="56" fillId="8" borderId="6" xfId="22">
      <alignment horizontal="center" vertical="center" wrapText="1"/>
    </xf>
    <xf numFmtId="0" fontId="57" fillId="8" borderId="1" xfId="0"/>
    <xf numFmtId="3" fontId="58" fillId="14" borderId="1" xfId="0" quotePrefix="1">
      <alignment horizontal="left" vertical="center"/>
    </xf>
    <xf numFmtId="3" fontId="59" fillId="14" borderId="1" xfId="0" quotePrefix="1">
      <alignment horizontal="left" vertical="center"/>
    </xf>
    <xf numFmtId="610" fontId="59" fillId="14" borderId="1" xfId="0" quotePrefix="1">
      <alignment horizontal="left" vertical="center"/>
    </xf>
    <xf numFmtId="3" fontId="58" fillId="14" borderId="1" xfId="0">
      <alignment horizontal="right" vertical="center"/>
    </xf>
    <xf numFmtId="606" fontId="58" fillId="14" borderId="1" xfId="0">
      <alignment horizontal="right" vertical="center"/>
    </xf>
    <xf numFmtId="570" fontId="58" fillId="14" borderId="1" xfId="0">
      <alignment horizontal="right" vertical="center"/>
    </xf>
    <xf numFmtId="608" fontId="58" fillId="14" borderId="1" xfId="0">
      <alignment horizontal="right" vertical="center"/>
    </xf>
    <xf numFmtId="570" fontId="58" fillId="14" borderId="1" xfId="36">
      <alignment horizontal="right" vertical="center"/>
    </xf>
    <xf numFmtId="3" fontId="19" fillId="8" borderId="1" xfId="0">
      <alignment horizontal="right" vertical="center"/>
    </xf>
    <xf numFmtId="3" fontId="51" fillId="8" borderId="3" xfId="36">
      <alignment horizontal="right" vertical="center"/>
    </xf>
    <xf numFmtId="570" fontId="51" fillId="8" borderId="3" xfId="2">
      <alignment horizontal="center" vertical="bottom"/>
    </xf>
    <xf numFmtId="0" fontId="52" fillId="8" borderId="1" xfId="0" quotePrefix="1">
      <alignment horizontal="center" vertical="center"/>
    </xf>
    <xf numFmtId="0" fontId="19" fillId="8" borderId="1" xfId="0" quotePrefix="1">
      <alignment horizontal="left" vertical="center"/>
    </xf>
    <xf numFmtId="0" fontId="53" fillId="8" borderId="1" xfId="0" quotePrefix="1">
      <alignment horizontal="left" vertical="center"/>
    </xf>
    <xf numFmtId="606" fontId="19" fillId="8" borderId="1" xfId="0">
      <alignment horizontal="right" vertical="center"/>
    </xf>
    <xf numFmtId="570" fontId="19" fillId="8" borderId="1" xfId="0">
      <alignment horizontal="right" vertical="center"/>
    </xf>
    <xf numFmtId="608" fontId="19" fillId="8" borderId="1" xfId="0">
      <alignment horizontal="right" vertical="center"/>
    </xf>
    <xf numFmtId="0" fontId="52" fillId="8" borderId="1" xfId="0">
      <alignment horizontal="center" vertical="center"/>
    </xf>
    <xf numFmtId="0" fontId="19" fillId="8" borderId="1" xfId="0">
      <alignment horizontal="left" vertical="center"/>
    </xf>
    <xf numFmtId="0" fontId="53" fillId="8" borderId="1" xfId="0">
      <alignment horizontal="left" vertical="center"/>
    </xf>
    <xf numFmtId="0" fontId="10" fillId="17" borderId="1" xfId="0"/>
    <xf numFmtId="0" fontId="24" fillId="17" borderId="1" xfId="0">
      <alignment horizontal="left" vertical="center" indent="1"/>
    </xf>
    <xf numFmtId="0" fontId="24" fillId="17" borderId="1" xfId="0">
      <alignment horizontal="left" vertical="center"/>
    </xf>
    <xf numFmtId="0" fontId="10" fillId="0" borderId="17" xfId="0"/>
    <xf numFmtId="0" fontId="25" fillId="17" borderId="17" xfId="0">
      <alignment horizontal="left" vertical="center" indent="1"/>
    </xf>
    <xf numFmtId="0" fontId="25" fillId="17" borderId="17" xfId="0">
      <alignment horizontal="left" vertical="center"/>
    </xf>
    <xf numFmtId="0" fontId="10" fillId="17" borderId="17" xfId="0"/>
    <xf numFmtId="0" fontId="10" fillId="14" borderId="1" xfId="0"/>
    <xf numFmtId="0" fontId="26" fillId="14" borderId="1" xfId="0">
      <alignment horizontal="left" vertical="center"/>
    </xf>
    <xf numFmtId="0" fontId="27" fillId="14" borderId="1" xfId="0">
      <alignment horizontal="left" vertical="center"/>
    </xf>
    <xf numFmtId="0" fontId="21" fillId="14" borderId="1" xfId="0">
      <alignment horizontal="left" vertical="center"/>
    </xf>
    <xf numFmtId="0" fontId="22" fillId="14" borderId="1" xfId="0">
      <alignment horizontal="right" vertical="center"/>
    </xf>
    <xf numFmtId="0" fontId="20" fillId="15" borderId="12" xfId="0">
      <alignment horizontal="left" vertical="center" indent="1"/>
    </xf>
    <xf numFmtId="0" fontId="20" fillId="15" borderId="12" xfId="0">
      <alignment horizontal="center" vertical="center" wrapText="1"/>
    </xf>
    <xf numFmtId="0" fontId="28" fillId="18" borderId="13" xfId="0">
      <alignment horizontal="left" vertical="center" indent="1"/>
    </xf>
    <xf numFmtId="583" fontId="28" fillId="18" borderId="13" xfId="0">
      <alignment horizontal="right" vertical="center"/>
    </xf>
    <xf numFmtId="0" fontId="10" fillId="18" borderId="13" xfId="0"/>
    <xf numFmtId="0" fontId="29" fillId="16" borderId="13" xfId="0">
      <alignment horizontal="left" vertical="center" indent="1"/>
    </xf>
    <xf numFmtId="583" fontId="29" fillId="16" borderId="13" xfId="0">
      <alignment horizontal="right" vertical="center"/>
    </xf>
    <xf numFmtId="570" fontId="23" fillId="16" borderId="13" xfId="0">
      <alignment horizontal="right" vertical="center"/>
    </xf>
    <xf numFmtId="0" fontId="30" fillId="20" borderId="13" xfId="0">
      <alignment horizontal="left" vertical="center" indent="1"/>
    </xf>
    <xf numFmtId="592" fontId="36" fillId="20" borderId="13" xfId="0">
      <alignment horizontal="right" vertical="center"/>
    </xf>
    <xf numFmtId="593" fontId="37" fillId="20" borderId="13" xfId="0">
      <alignment horizontal="right" vertical="center"/>
    </xf>
    <xf numFmtId="0" fontId="30" fillId="19" borderId="14" xfId="0">
      <alignment horizontal="left" vertical="center" indent="1"/>
    </xf>
    <xf numFmtId="585" fontId="31" fillId="19" borderId="14" xfId="0">
      <alignment horizontal="right" vertical="center"/>
    </xf>
    <xf numFmtId="0" fontId="22" fillId="19" borderId="14" xfId="0">
      <alignment horizontal="center" vertical="center"/>
    </xf>
    <xf numFmtId="0" fontId="32" fillId="18" borderId="15" xfId="0">
      <alignment horizontal="left" vertical="center" indent="1"/>
    </xf>
    <xf numFmtId="3" fontId="32" fillId="18" borderId="15" xfId="0">
      <alignment horizontal="right" vertical="center"/>
    </xf>
    <xf numFmtId="4" fontId="23" fillId="18" borderId="15" xfId="0">
      <alignment horizontal="center" vertical="center"/>
    </xf>
    <xf numFmtId="4" fontId="32" fillId="18" borderId="15" xfId="0">
      <alignment horizontal="right" vertical="center"/>
    </xf>
    <xf numFmtId="0" fontId="19" fillId="14" borderId="1" xfId="0">
      <alignment horizontal="left" vertical="center" indent="1"/>
    </xf>
    <xf numFmtId="3" fontId="19" fillId="14" borderId="1" xfId="0">
      <alignment horizontal="right" vertical="center"/>
    </xf>
    <xf numFmtId="4" fontId="19" fillId="14" borderId="1" xfId="0">
      <alignment horizontal="right" vertical="center"/>
    </xf>
    <xf numFmtId="0" fontId="25" fillId="17" borderId="1" xfId="0">
      <alignment horizontal="left" vertical="center"/>
    </xf>
    <xf numFmtId="0" fontId="33" fillId="14" borderId="1" xfId="0">
      <alignment horizontal="left" vertical="center"/>
    </xf>
    <xf numFmtId="0" fontId="63" fillId="8" borderId="1" xfId="0"/>
    <xf numFmtId="0" fontId="64" fillId="8" borderId="1" xfId="0" quotePrefix="1"/>
    <xf numFmtId="0" fontId="65" fillId="8" borderId="1" xfId="0" quotePrefix="1"/>
    <xf numFmtId="0" fontId="23" fillId="14" borderId="1" xfId="0">
      <alignment horizontal="center" vertical="center"/>
    </xf>
    <xf numFmtId="0" fontId="23" fillId="14" borderId="1" xfId="0">
      <alignment horizontal="left" vertical="center" indent="1"/>
    </xf>
    <xf numFmtId="583" fontId="19" fillId="14" borderId="1" xfId="0">
      <alignment horizontal="right" vertical="center"/>
    </xf>
    <xf numFmtId="587" fontId="19" fillId="14" borderId="1" xfId="0">
      <alignment horizontal="right" vertical="center"/>
    </xf>
    <xf numFmtId="570" fontId="19" fillId="14" borderId="1" xfId="0">
      <alignment horizontal="right" vertical="center"/>
    </xf>
    <xf numFmtId="570" fontId="66" fillId="14" borderId="1" xfId="0">
      <alignment horizontal="right" vertical="center"/>
    </xf>
    <xf numFmtId="0" fontId="10" fillId="19" borderId="14" xfId="0"/>
    <xf numFmtId="583" fontId="34" fillId="19" borderId="14" xfId="0">
      <alignment horizontal="right" vertical="center"/>
    </xf>
    <xf numFmtId="0" fontId="19" fillId="16" borderId="13" xfId="0">
      <alignment horizontal="left" vertical="center" indent="1"/>
    </xf>
    <xf numFmtId="0" fontId="10" fillId="16" borderId="13" xfId="0"/>
    <xf numFmtId="583" fontId="19" fillId="16" borderId="13" xfId="0">
      <alignment horizontal="right" vertical="center"/>
    </xf>
    <xf numFmtId="0" fontId="32" fillId="19" borderId="16" xfId="0">
      <alignment horizontal="left" vertical="center" indent="1"/>
    </xf>
    <xf numFmtId="0" fontId="10" fillId="19" borderId="16" xfId="0"/>
    <xf numFmtId="590" fontId="35" fillId="19" borderId="16" xfId="0">
      <alignment horizontal="right" vertical="center"/>
    </xf>
    <xf numFmtId="591" fontId="23" fillId="19" borderId="16" xfId="0">
      <alignment horizontal="right" vertical="center"/>
    </xf>
  </cellXfs>
  <cellStyles count="116">
    <cellStyle name="Normal" xfId="0" builtinId="0"/>
    <cellStyle name="%0." xfId="1"/>
    <cellStyle name="%0.0" xfId="2"/>
    <cellStyle name="%0.00" xfId="3"/>
    <cellStyle name="60 % - Accent1" xfId="4"/>
    <cellStyle name="60 % - Accent2" xfId="5"/>
    <cellStyle name="60 % - Accent3" xfId="6"/>
    <cellStyle name="60 % - Accent4" xfId="7"/>
    <cellStyle name="60 % - Accent5" xfId="8"/>
    <cellStyle name="60 % - Accent6" xfId="9"/>
    <cellStyle name="ACT" xfId="10"/>
    <cellStyle name="Alighment Center" xfId="11"/>
    <cellStyle name="Alighment Left" xfId="12"/>
    <cellStyle name="Alignment H&amp;V center" xfId="11"/>
    <cellStyle name="Amounts left nolocked" xfId="13"/>
    <cellStyle name="Amounts w/ 2 Decimals" xfId="14"/>
    <cellStyle name="Amounts_Board" xfId="15"/>
    <cellStyle name="Amounts-1000" xfId="16"/>
    <cellStyle name="BDG" xfId="17"/>
    <cellStyle name="Blank_Row" xfId="18"/>
    <cellStyle name="Bold" xfId="19"/>
    <cellStyle name="Bold+Italic" xfId="20"/>
    <cellStyle name="C_Amount_ACT" xfId="21"/>
    <cellStyle name="C_Head" xfId="22"/>
    <cellStyle name="Date" xfId="23"/>
    <cellStyle name="Fill light blue" xfId="24"/>
    <cellStyle name="Formula" xfId="25"/>
    <cellStyle name="Head_left" xfId="26"/>
    <cellStyle name="Hyperlink for amounts" xfId="27"/>
    <cellStyle name="Hyperlnk row header underlined bold" xfId="27"/>
    <cellStyle name="Middle Headers Centered" xfId="28"/>
    <cellStyle name="NA Currency" xfId="29"/>
    <cellStyle name="NA Currency 2 dec" xfId="30"/>
    <cellStyle name="Neutre" xfId="31"/>
    <cellStyle name="Normal 2" xfId="32"/>
    <cellStyle name="Placeholder" xfId="33"/>
    <cellStyle name="Placeholder Header Underlined bold" xfId="34"/>
    <cellStyle name="Placeholder_column_blank" xfId="35"/>
    <cellStyle name="R_Area_font" xfId="36"/>
    <cellStyle name="R_AREA_FONT_UC" xfId="37"/>
    <cellStyle name="R_formula" xfId="38"/>
    <cellStyle name="R_head_font" xfId="39"/>
    <cellStyle name="Row_Grey" xfId="40"/>
    <cellStyle name="Status Check" xfId="41"/>
    <cellStyle name="Style0" xfId="42"/>
    <cellStyle name="Subtotal Amounts row fill" xfId="43"/>
    <cellStyle name="Subtotal head row fill" xfId="44"/>
    <cellStyle name="Subtotal_amounts" xfId="45"/>
    <cellStyle name="TGK_TOC_PAGE_COLUMN" xfId="46"/>
    <cellStyle name="Titre" xfId="47"/>
    <cellStyle name="Visual Check" xfId="48"/>
    <cellStyle name="Webdings" xfId="49"/>
    <cellStyle name="Webdings1" xfId="50"/>
    <cellStyle name="Webdings14" xfId="51"/>
    <cellStyle name="Webdings14Green" xfId="52"/>
    <cellStyle name="Work new book placeholder header underlined" xfId="53"/>
    <cellStyle name="WrappedText" xfId="54"/>
    <cellStyle name="20% - Accent1" xfId="55" builtinId="30"/>
    <cellStyle name="20% - Accent2" xfId="56" builtinId="34"/>
    <cellStyle name="20% - Accent3" xfId="57" builtinId="38"/>
    <cellStyle name="20% - Accent4" xfId="58" builtinId="42"/>
    <cellStyle name="20% - Accent5" xfId="59" builtinId="46"/>
    <cellStyle name="20% - Accent6" xfId="60" builtinId="50"/>
    <cellStyle name="40% - Accent1" xfId="61" builtinId="31"/>
    <cellStyle name="40% - Accent2" xfId="62" builtinId="35"/>
    <cellStyle name="40% - Accent3" xfId="63" builtinId="39"/>
    <cellStyle name="40% - Accent4" xfId="64" builtinId="43"/>
    <cellStyle name="40% - Accent5" xfId="65" builtinId="47"/>
    <cellStyle name="40% - Accent6" xfId="66" builtinId="51"/>
    <cellStyle name="60% - Accent1" xfId="67" builtinId="32"/>
    <cellStyle name="60% - Accent2" xfId="68" builtinId="36"/>
    <cellStyle name="60% - Accent3" xfId="69" builtinId="40"/>
    <cellStyle name="60% - Accent4" xfId="70" builtinId="44"/>
    <cellStyle name="60% - Accent5" xfId="71" builtinId="48"/>
    <cellStyle name="60% - Accent6" xfId="72" builtinId="52"/>
    <cellStyle name="Accent1" xfId="73" builtinId="29"/>
    <cellStyle name="Accent2" xfId="74" builtinId="33"/>
    <cellStyle name="Accent3" xfId="75" builtinId="37"/>
    <cellStyle name="Accent4" xfId="76" builtinId="41"/>
    <cellStyle name="Accent5" xfId="77" builtinId="45"/>
    <cellStyle name="Accent6" xfId="78" builtinId="49"/>
    <cellStyle name="Amounts_right_nolocked" xfId="79"/>
    <cellStyle name="Bad" xfId="80" builtinId="27"/>
    <cellStyle name="Calculation" xfId="81" builtinId="22"/>
    <cellStyle name="Check Cell" xfId="82" builtinId="23"/>
    <cellStyle name="Comma" xfId="83" builtinId="3"/>
    <cellStyle name="Comma [0]" xfId="84" builtinId="6"/>
    <cellStyle name="Currency" xfId="85" builtinId="4"/>
    <cellStyle name="Currency [0]" xfId="86" builtinId="7"/>
    <cellStyle name="Explanatory Text" xfId="87" builtinId="53"/>
    <cellStyle name="Good" xfId="88" builtinId="26"/>
    <cellStyle name="Heading 1" xfId="89" builtinId="16"/>
    <cellStyle name="Heading 2" xfId="90" builtinId="17"/>
    <cellStyle name="Heading 3" xfId="91" builtinId="18"/>
    <cellStyle name="Heading 4" xfId="92" builtinId="19"/>
    <cellStyle name="Input" xfId="93" builtinId="20"/>
    <cellStyle name="Linked Cell" xfId="94" builtinId="24"/>
    <cellStyle name="Neutral" xfId="95" builtinId="28"/>
    <cellStyle name="Note" xfId="96" builtinId="10"/>
    <cellStyle name="Output" xfId="97" builtinId="21"/>
    <cellStyle name="Percent" xfId="1" builtinId="5"/>
    <cellStyle name="Placeholder_Header" xfId="98"/>
    <cellStyle name="Subtotal_head" xfId="99"/>
    <cellStyle name="Subtotal_Head_C" xfId="100"/>
    <cellStyle name="TGK_TOC_REPORT_ROW" xfId="92"/>
    <cellStyle name="TGK_TOC_SHEET_ROW" xfId="101"/>
    <cellStyle name="TGK_TOC_TEMPLATE_ROW" xfId="102"/>
    <cellStyle name="Title" xfId="103" builtinId="15"/>
    <cellStyle name="Total" xfId="104" builtinId="25"/>
    <cellStyle name="Total_amounts" xfId="105"/>
    <cellStyle name="Total_Amounts_C" xfId="106"/>
    <cellStyle name="Total_Amounts_Margin" xfId="107"/>
    <cellStyle name="Total_head" xfId="108"/>
    <cellStyle name="Total_Head_C" xfId="109"/>
    <cellStyle name="Total_Headers_Margin" xfId="110"/>
    <cellStyle name="Warning Text" xfId="111" builtinId="11"/>
  </cellStyles>
  <dxfs count="13">
    <dxf>
      <font>
        <b/>
        <color rgb="FF202733"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 patternType="solid">
          <fgColor rgb="FFD9E2EF"/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sz val="8.5"/>
        <color rgb="FF1E9E89"/>
        <name val="Arial"/>
      </font>
    </dxf>
    <dxf>
      <font>
        <sz val="8.5"/>
        <color rgb="FFD64545"/>
        <name val="Arial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sz val="9"/>
        <color rgb="FF1E9E89"/>
        <name val="Arial"/>
      </font>
    </dxf>
    <dxf>
      <font>
        <sz val="9"/>
        <color rgb="FFD64545"/>
        <name val="Arial"/>
      </font>
    </dxf>
    <dxf>
      <fill>
        <patternFill patternType="solid">
          <fgColor rgb="FFFFF1E8"/>
          <bgColor rgb="FFFFF1E8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8.696648858070484E-2"/>
          <c:y val="2.2353551959851174E-2"/>
          <c:w val="0.87878275349124646"/>
          <c:h val="0.80611477339225324"/>
        </c:manualLayout>
      </c:layout>
      <c:barChart chartType="6">
        <c:ser seriesType="0">
          <c:idx val="0"/>
          <c:order val="0"/>
          <c:tx>
            <c:v>2024</c:v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98000"/>
                    <a:tint val="94000"/>
                    <a:lumOff val="2000"/>
                  </a:schemeClr>
                </a:gs>
                <a:gs pos="50000">
                  <a:schemeClr val="accent4">
                    <a:shade val="65000"/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65000"/>
                    <a:shade val="78000"/>
                    <a:lumMod val="99000"/>
                    <a:satMod val="120000"/>
                  </a:schemeClr>
                </a:gs>
              </a:gsLst>
              <a:lin ang="5400000" scaled="0"/>
              <a:tileRect l="0" t="0" r="0" b="0"/>
            </a:gradFill>
            <a:ln>
              <a:noFill/>
            </a:ln>
          </c:spPr>
          <c:invertIfNegative val="0"/>
          <c:cat>
            <c:strRef>
              <c:f>Cockpit!$AK$7:$AK$11</c:f>
            </c:strRef>
          </c:cat>
          <c:val>
            <c:numRef>
              <c:f>Cockpit!$AL$7:$AL$11</c:f>
              <c:numCache>
                <c:formatCode>General</c:formatCode>
              </c:numCache>
            </c:numRef>
          </c:val>
          <c:extLst/>
        </c:ser>
        <c:ser seriesType="0">
          <c:idx val="1"/>
          <c:order val="1"/>
          <c:tx>
            <c:v>2025</c:v>
          </c:tx>
          <c:spPr>
            <a:gradFill rotWithShape="1">
              <a:gsLst>
                <a:gs pos="0">
                  <a:schemeClr val="accent4">
                    <a:satMod val="103000"/>
                    <a:lumMod val="98000"/>
                    <a:tint val="94000"/>
                    <a:lumOff val="2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  <a:tileRect l="0" t="0" r="0" b="0"/>
            </a:gradFill>
            <a:ln>
              <a:noFill/>
            </a:ln>
          </c:spPr>
          <c:invertIfNegative val="0"/>
          <c:cat>
            <c:strRef>
              <c:f>Cockpit!$AK$7:$AK$11</c:f>
            </c:strRef>
          </c:cat>
          <c:val>
            <c:numRef>
              <c:f>Cockpit!$AM$7:$AM$11</c:f>
              <c:numCache>
                <c:formatCode>General</c:formatCode>
              </c:numCache>
            </c:numRef>
          </c:val>
          <c:extLst/>
        </c:ser>
        <c:ser seriesType="0">
          <c:idx val="2"/>
          <c:order val="2"/>
          <c:tx>
            <c:v>2026</c:v>
          </c:tx>
          <c:spPr>
            <a:gradFill rotWithShape="1">
              <a:gsLst>
                <a:gs pos="0">
                  <a:schemeClr val="accent4">
                    <a:tint val="65000"/>
                    <a:tint val="94000"/>
                    <a:satMod val="103000"/>
                    <a:lumMod val="98000"/>
                    <a:lumOff val="2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  <a:tileRect l="0" t="0" r="0" b="0"/>
            </a:gradFill>
            <a:ln>
              <a:noFill/>
            </a:ln>
          </c:spPr>
          <c:invertIfNegative val="0"/>
          <c:cat>
            <c:strRef>
              <c:f>Cockpit!$AK$7:$AK$11</c:f>
            </c:strRef>
          </c:cat>
          <c:val>
            <c:numRef>
              <c:f>Cockpit!$AN$7:$AN$11</c:f>
              <c:numCache>
                <c:formatCode>General</c:formatCode>
              </c:numCache>
            </c:numRef>
          </c:val>
          <c:extLst/>
        </c:ser>
        <c:axId val="57455071"/>
        <c:axId val="54934534"/>
        <c:barDir val="col"/>
        <c:grouping val="clustered"/>
        <c:gapWidth val="100"/>
        <c:varyColors val="1"/>
        <c:overlap val="-24"/>
      </c:barChart>
      <c:catAx axisType="0">
        <c:axId val="57455071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noFill/>
          <a:ln w="9525" cmpd="sng" cap="flat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crossAx val="54934534"/>
        <c:crosses val="autoZero"/>
        <c:auto val="1"/>
        <c:lblAlgn val="ctr"/>
        <c:lblOffset val="100"/>
        <c:noMultiLvlLbl val="1"/>
        <c:tickMarkSkip val="1"/>
      </c:catAx>
      <c:valAx axisType="3">
        <c:axId val="54934534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>
            <a:noFill/>
          </a:ln>
        </c:spPr>
        <c:numFmt formatCode="0%" sourceLinked="0"/>
        <c:txPr>
          <a:bodyPr rot="-60000000" spcFirstLastPara="1" vertOverflow="ellipsis" vert="horz" wrap="square" anchor="ctr" anchorCtr="1"/>
          <a:lstStyle/>
          <a:p>
            <a:pPr>
              <a:defRPr sz="900" b="0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majorGridlines>
          <c:spPr>
            <a:ln w="9525" cmpd="sng" cap="flat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crosses val="autoZero"/>
        <c:crossBetween val="between"/>
        <c:crossAx val="57455071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u="none">
              <a:solidFill>
                <a:schemeClr val="tx2"/>
              </a:solidFill>
              <a:latin typeface="+mn-lt"/>
            </a:defRPr>
          </a:pPr>
          <a:endParaRPr lang="fr-FR"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4"/>
    </mc:Fallback>
  </mc:AlternateContent>
  <c:spPr>
    <a:solidFill>
      <a:schemeClr val="bg1"/>
    </a:solidFill>
    <a:ln w="9525" cmpd="sng" cap="flat" algn="ctr">
      <a:solidFill>
        <a:schemeClr val="tx2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0136783181192406"/>
          <c:y val="2.2217970619753075E-2"/>
          <c:w val="0.86259616810797912"/>
          <c:h val="0.78232720909886266"/>
        </c:manualLayout>
      </c:layout>
      <c:lineChart chartType="8">
        <c:ser seriesType="2">
          <c:idx val="0"/>
          <c:order val="0"/>
          <c:tx>
            <c:v>Dépenses</c:v>
          </c:tx>
          <c:spPr>
            <a:ln w="31718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Cockpit!$BB$7:$BB$9</c:f>
            </c:strRef>
          </c:cat>
          <c:val>
            <c:numRef>
              <c:f>Cockpit!$BC$7:$BC$9</c:f>
              <c:numCache>
                <c:formatCode>General</c:formatCode>
              </c:numCache>
            </c:numRef>
          </c:val>
          <c:smooth val="0"/>
          <c:extLst/>
        </c:ser>
        <c:ser seriesType="2">
          <c:idx val="1"/>
          <c:order val="1"/>
          <c:tx>
            <c:v>Inscrits</c:v>
          </c:tx>
          <c:spPr>
            <a:ln w="31718" cap="rnd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strRef>
              <c:f>Cockpit!$BB$7:$BB$9</c:f>
            </c:strRef>
          </c:cat>
          <c:val>
            <c:numRef>
              <c:f>Cockpit!$BD$7:$BD$9</c:f>
              <c:numCache>
                <c:formatCode>General</c:formatCode>
              </c:numCache>
            </c:numRef>
          </c:val>
          <c:smooth val="0"/>
          <c:extLst/>
        </c:ser>
        <c:axId val="72678620"/>
        <c:axId val="18468370"/>
        <c:grouping val="standard"/>
        <c:varyColors val="1"/>
        <c:smooth val="0"/>
        <c:marker val="0"/>
      </c:lineChart>
      <c:catAx axisType="0">
        <c:axId val="72678620"/>
        <c:scaling>
          <c:orientation val="minMax"/>
        </c:scaling>
        <c:delete val="0"/>
        <c:axPos val="b"/>
        <c:numFmt formatCode="General"/>
        <c:majorTickMark val="out"/>
        <c:minorTickMark val="none"/>
        <c:tickLblPos val="nextTo"/>
        <c:spPr>
          <a:noFill/>
          <a:ln w="9525" cmpd="sng" cap="flat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crossAx val="18468370"/>
        <c:crosses val="autoZero"/>
        <c:auto val="1"/>
        <c:lblAlgn val="ctr"/>
        <c:lblOffset val="100"/>
        <c:noMultiLvlLbl val="1"/>
        <c:tickMarkSkip val="1"/>
      </c:catAx>
      <c:valAx axisType="3">
        <c:axId val="18468370"/>
        <c:delete val="0"/>
        <c:majorTickMark val="none"/>
        <c:minorTickMark val="none"/>
        <c:tickLblPos val="nextTo"/>
        <c:axPos val="l"/>
        <c:scaling>
          <c:orientation val="minMax"/>
          <c:max val="125"/>
          <c:min val="95"/>
        </c:scaling>
        <c:spPr>
          <a:noFill/>
          <a:ln>
            <a:noFill/>
          </a:ln>
        </c:spPr>
        <c:numFmt formatCode="0" sourceLinked="0"/>
        <c:txPr>
          <a:bodyPr rot="-60000000" spcFirstLastPara="1" vertOverflow="ellipsis" vert="horz" wrap="square" anchor="ctr" anchorCtr="1"/>
          <a:lstStyle/>
          <a:p>
            <a:pPr>
              <a:defRPr sz="900" b="0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majorGridlines>
          <c:spPr>
            <a:ln w="9525" cmpd="sng" cap="flat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majorUnit val="10"/>
        <c:crosses val="autoZero"/>
        <c:crossBetween val="between"/>
        <c:crossAx val="7267862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u="none">
              <a:solidFill>
                <a:schemeClr val="tx2"/>
              </a:solidFill>
              <a:latin typeface="+mn-lt"/>
            </a:defRPr>
          </a:pPr>
          <a:endParaRPr lang="fr-FR"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 cmpd="sng" cap="flat" algn="ctr">
      <a:solidFill>
        <a:schemeClr val="tx2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Cockpit!$AD$6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Cockpit!$AD$7:$AD$11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strRef>
              <c:f>Cockpit!$AE$6</c:f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Cockpit!$AE$7:$AE$11</c:f>
              <c:numCache>
                <c:formatCode>General</c:formatCode>
              </c:numCache>
            </c:numRef>
          </c:val>
          <c:extLst/>
        </c:ser>
        <c:ser seriesType="0">
          <c:idx val="2"/>
          <c:order val="2"/>
          <c:tx>
            <c:strRef>
              <c:f>Cockpit!$AF$6</c:f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Cockpit!$AF$7:$AF$11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tx>
            <c:strRef>
              <c:f>Cockpit!$AG$6</c:f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Cockpit!$AG$7:$AG$11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4"/>
          <c:order val="4"/>
          <c:tx>
            <c:strRef>
              <c:f>Cockpit!$AH$6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Cockpit!$AH$7:$AH$11</c:f>
              <c:numCache>
                <c:formatCode>General</c:formatCode>
              </c:numCache>
            </c:numRef>
          </c:val>
          <c:extLst/>
          <c:spPr/>
        </c:ser>
        <c:axId val="39953769"/>
        <c:axId val="35416369"/>
        <c:barDir val="col"/>
        <c:grouping val="stacked"/>
        <c:gapWidth val="55"/>
        <c:varyColors val="1"/>
        <c:overlap val="100"/>
      </c:barChart>
      <c:catAx axisType="0">
        <c:axId val="39953769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/>
            </a:pPr>
            <a:endParaRPr lang="fr-FR"/>
          </a:p>
        </c:txPr>
        <c:crossAx val="35416369"/>
        <c:crosses val="autoZero"/>
        <c:auto val="1"/>
        <c:lblAlgn val="ctr"/>
        <c:lblOffset val="100"/>
        <c:tickMarkSkip val="1"/>
        <c:noMultiLvlLbl val="1"/>
      </c:catAx>
      <c:valAx axisType="3">
        <c:axId val="3541636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.0,,&quot; M€&quot;" sourceLinked="0"/>
        <c:txPr>
          <a:bodyPr/>
          <a:lstStyle/>
          <a:p>
            <a:pPr>
              <a:defRPr b="1"/>
            </a:pPr>
            <a:endParaRPr lang="fr-FR"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9953769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 w="9525">
      <a:solidFill>
        <a:schemeClr val="bg1"/>
      </a:solidFill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1'!$AA$31:$AA$37</c:f>
              <c:numCache>
                <c:formatCode>General</c:formatCode>
              </c:numCache>
            </c:numRef>
          </c:val>
          <c:extLst/>
        </c:ser>
        <c:ser seriesType="0"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1'!$AB$31:$AB$37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1'!$AC$31:$AC$37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1'!$AD$31:$AD$37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39981794"/>
        <c:axId val="92291707"/>
        <c:barDir val="col"/>
        <c:grouping val="stacked"/>
        <c:gapWidth val="45"/>
        <c:varyColors val="1"/>
        <c:overlap val="100"/>
      </c:barChart>
      <c:catAx axisType="0">
        <c:axId val="39981794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92291707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ickMarkSkip val="1"/>
      </c:catAx>
      <c:valAx axisType="3">
        <c:axId val="92291707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9981794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'Drill EBITDA 2'!$F$34</c:f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98000"/>
                    <a:tint val="94000"/>
                    <a:lumOff val="2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  <a:tileRect l="0" t="0" r="0" b="0"/>
            </a:gradFill>
            <a:ln>
              <a:noFill/>
            </a:ln>
          </c:spPr>
          <c:invertIfNegative val="0"/>
          <c:cat>
            <c:strRef>
              <c:f>'Drill EBITDA 2'!$K$38:$K$50</c:f>
            </c:strRef>
          </c:cat>
          <c:val>
            <c:numRef>
              <c:f>'Drill EBITDA 2'!$F$38:$F$50</c:f>
              <c:numCache>
                <c:formatCode>#,##0" €"</c:formatCode>
              </c:numCache>
            </c:numRef>
          </c:val>
          <c:extLst/>
        </c:ser>
        <c:ser seriesType="0">
          <c:idx val="1"/>
          <c:order val="1"/>
          <c:tx>
            <c:strRef>
              <c:f>'Drill EBITDA 2'!$G$34</c:f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98000"/>
                    <a:tint val="94000"/>
                    <a:lumOff val="2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  <a:tileRect l="0" t="0" r="0" b="0"/>
            </a:gradFill>
            <a:ln>
              <a:noFill/>
            </a:ln>
          </c:spPr>
          <c:invertIfNegative val="0"/>
          <c:cat>
            <c:strRef>
              <c:f>'Drill EBITDA 2'!$K$38:$K$50</c:f>
            </c:strRef>
          </c:cat>
          <c:val>
            <c:numRef>
              <c:f>'Drill EBITDA 2'!$G$38:$G$50</c:f>
              <c:numCache>
                <c:formatCode>#,##0" €"</c:formatCode>
              </c:numCache>
            </c:numRef>
          </c:val>
          <c:extLst/>
        </c:ser>
        <c:axId val="83794335"/>
        <c:axId val="75002384"/>
        <c:barDir val="bar"/>
        <c:grouping val="clustered"/>
        <c:gapWidth val="100"/>
        <c:varyColors val="0"/>
        <c:overlap val="0"/>
      </c:barChart>
      <c:catAx axisType="0">
        <c:axId val="83794335"/>
        <c:scaling>
          <c:orientation val="maxMin"/>
        </c:scaling>
        <c:delete val="0"/>
        <c:axPos val="r"/>
        <c:numFmt formatCode="General"/>
        <c:majorTickMark val="none"/>
        <c:minorTickMark val="none"/>
        <c:tickLblPos val="nextTo"/>
        <c:spPr>
          <a:noFill/>
          <a:ln w="9525" cmpd="sng" cap="flat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sz="900" b="0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crossAx val="75002384"/>
        <c:crosses val="max"/>
        <c:auto val="1"/>
        <c:lblAlgn val="ctr"/>
        <c:lblOffset val="100"/>
        <c:noMultiLvlLbl val="1"/>
        <c:tickMarkSkip val="1"/>
      </c:catAx>
      <c:valAx axisType="3">
        <c:axId val="75002384"/>
        <c:delete val="0"/>
        <c:majorTickMark val="none"/>
        <c:minorTickMark val="none"/>
        <c:tickLblPos val="nextTo"/>
        <c:axPos val="t"/>
        <c:scaling>
          <c:orientation val="minMax"/>
        </c:scaling>
        <c:spPr>
          <a:noFill/>
          <a:ln>
            <a:noFill/>
          </a:ln>
        </c:spPr>
        <c:numFmt formatCode="#,##0,&quot; k€&quot;" sourceLinked="0"/>
        <c:txPr>
          <a:bodyPr rot="0" spcFirstLastPara="1" vertOverflow="ellipsis" vert="horz" wrap="square" anchor="ctr" anchorCtr="1"/>
          <a:lstStyle/>
          <a:p>
            <a:pPr>
              <a:defRPr sz="900" b="0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majorGridlines>
          <c:spPr>
            <a:ln w="9525" cmpd="sng" cap="flat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crosses val="autoZero"/>
        <c:crossBetween val="between"/>
        <c:crossAx val="83794335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u="none">
              <a:solidFill>
                <a:schemeClr val="tx2"/>
              </a:solidFill>
              <a:latin typeface="+mn-lt"/>
            </a:defRPr>
          </a:pPr>
          <a:endParaRPr lang="fr-FR"/>
        </a:p>
      </c:txPr>
    </c:legend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 cmpd="sng" cap="flat" algn="ctr">
      <a:solidFill>
        <a:schemeClr val="tx2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withinLinear" id="17">
  <a:schemeClr val="accent4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0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800098</xdr:colOff>
      <xdr:row>13</xdr:row>
      <xdr:rowOff>3402</xdr:rowOff>
    </xdr:from>
    <xdr:to>
      <xdr:col>11</xdr:col>
      <xdr:colOff>581024</xdr:colOff>
      <xdr:row>34</xdr:row>
      <xdr:rowOff>125185</xdr:rowOff>
    </xdr:to>
    <xdr:graphicFrame>
      <xdr:nvGraphicFramePr>
        <xdr:cNvPr id="3" name="Chart 2"/>
        <xdr:cNvGraphicFramePr>
          <a:graphicFrameLocks noChangeAspect="0"/>
        </xdr:cNvGraphicFramePr>
      </xdr:nvGraphicFramePr>
      <xdr:xfrm>
        <a:off x="5569402" y="2806473"/>
        <a:ext cx="5230587" cy="412228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1083129</xdr:colOff>
      <xdr:row>12</xdr:row>
      <xdr:rowOff>58509</xdr:rowOff>
    </xdr:from>
    <xdr:to>
      <xdr:col>16</xdr:col>
      <xdr:colOff>302080</xdr:colOff>
      <xdr:row>34</xdr:row>
      <xdr:rowOff>164646</xdr:rowOff>
    </xdr:to>
    <xdr:graphicFrame>
      <xdr:nvGraphicFramePr>
        <xdr:cNvPr id="4" name="Chart 3"/>
        <xdr:cNvGraphicFramePr>
          <a:graphicFrameLocks noChangeAspect="0"/>
        </xdr:cNvGraphicFramePr>
      </xdr:nvGraphicFramePr>
      <xdr:xfrm>
        <a:off x="11083018" y="2779938"/>
        <a:ext cx="4676776" cy="418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28575</xdr:colOff>
      <xdr:row>0</xdr:row>
      <xdr:rowOff>109537</xdr:rowOff>
    </xdr:from>
    <xdr:to>
      <xdr:col>3</xdr:col>
      <xdr:colOff>283242</xdr:colOff>
      <xdr:row>1</xdr:row>
      <xdr:rowOff>466627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20579" b="34332"/>
        <a:stretch/>
      </xdr:blipFill>
      <xdr:spPr>
        <a:xfrm>
          <a:off x="355146" y="109537"/>
          <a:ext cx="1492917" cy="54759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2</xdr:col>
      <xdr:colOff>61232</xdr:colOff>
      <xdr:row>13</xdr:row>
      <xdr:rowOff>54428</xdr:rowOff>
    </xdr:from>
    <xdr:to>
      <xdr:col>6</xdr:col>
      <xdr:colOff>680357</xdr:colOff>
      <xdr:row>33</xdr:row>
      <xdr:rowOff>170089</xdr:rowOff>
    </xdr:to>
    <xdr:graphicFrame>
      <xdr:nvGraphicFramePr>
        <xdr:cNvPr id="2" name="Chart 1"/>
        <xdr:cNvGraphicFramePr>
          <a:graphicFrameLocks noChangeAspect="0"/>
        </xdr:cNvGraphicFramePr>
      </xdr:nvGraphicFramePr>
      <xdr:xfrm>
        <a:off x="387803" y="2857499"/>
        <a:ext cx="4918982" cy="392566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819150</xdr:colOff>
      <xdr:row>9</xdr:row>
      <xdr:rowOff>161925</xdr:rowOff>
    </xdr:from>
    <xdr:to>
      <xdr:col>14</xdr:col>
      <xdr:colOff>561975</xdr:colOff>
      <xdr:row>27</xdr:row>
      <xdr:rowOff>123825</xdr:rowOff>
    </xdr:to>
    <xdr:graphicFrame>
      <xdr:nvGraphicFramePr>
        <xdr:cNvPr id="3" name="Chart 1"/>
        <xdr:cNvGraphicFramePr>
          <a:graphicFrameLocks noChangeAspect="0"/>
        </xdr:cNvGraphicFramePr>
      </xdr:nvGraphicFramePr>
      <xdr:xfrm>
        <a:off x="4257675" y="1695450"/>
        <a:ext cx="8229600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61912</xdr:colOff>
      <xdr:row>2</xdr:row>
      <xdr:rowOff>0</xdr:rowOff>
    </xdr:from>
    <xdr:to>
      <xdr:col>2</xdr:col>
      <xdr:colOff>1635112</xdr:colOff>
      <xdr:row>4</xdr:row>
      <xdr:rowOff>111482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>
          <a:lum bright="70000" contrast="-70000"/>
        </a:blip>
        <a:srcRect l="0" r="0" t="20579" b="34332"/>
        <a:stretch/>
      </xdr:blipFill>
      <xdr:spPr>
        <a:xfrm>
          <a:off x="319087" y="190500"/>
          <a:ext cx="1573200" cy="549632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166687</xdr:colOff>
      <xdr:row>1</xdr:row>
      <xdr:rowOff>71438</xdr:rowOff>
    </xdr:from>
    <xdr:to>
      <xdr:col>3</xdr:col>
      <xdr:colOff>920737</xdr:colOff>
      <xdr:row>3</xdr:row>
      <xdr:rowOff>106720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</a:blip>
        <a:srcRect l="0" r="0" t="20579" b="34332"/>
        <a:stretch/>
      </xdr:blipFill>
      <xdr:spPr>
        <a:xfrm>
          <a:off x="266700" y="157163"/>
          <a:ext cx="1520812" cy="549632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2</xdr:col>
      <xdr:colOff>161925</xdr:colOff>
      <xdr:row>9</xdr:row>
      <xdr:rowOff>9525</xdr:rowOff>
    </xdr:from>
    <xdr:to>
      <xdr:col>8</xdr:col>
      <xdr:colOff>400050</xdr:colOff>
      <xdr:row>29</xdr:row>
      <xdr:rowOff>76200</xdr:rowOff>
    </xdr:to>
    <xdr:graphicFrame>
      <xdr:nvGraphicFramePr>
        <xdr:cNvPr id="3" name="Chart 1"/>
        <xdr:cNvGraphicFramePr>
          <a:graphicFrameLocks noChangeAspect="0"/>
        </xdr:cNvGraphicFramePr>
      </xdr:nvGraphicFramePr>
      <xdr:xfrm>
        <a:off x="428625" y="1809750"/>
        <a:ext cx="723900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93509DD-E438-74A9-8268-47D03D825408}" mc:Ignorable="x14ac xr xr2 xr3">
  <dimension ref="A1:W27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'Drill EBITDA 2'!B65525</f>
        <v>0</v>
      </c>
    </row>
    <row r="2" ht="14.25" customHeight="1">
      <c r="A2" t="s">
        <v>1</v>
      </c>
      <c r="B2">
        <f>Cockpit!A65536</f>
        <v>0</v>
      </c>
    </row>
    <row r="3" ht="14.25" customHeight="1">
      <c r="A3" t="s">
        <v>2</v>
      </c>
      <c r="B3">
        <f>'Drill EBITDA 1'!B65537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395BD5D-6408-E898-AA4C-6DDF4CAAB338}" mc:Ignorable="x14ac xr xr2 xr3">
  <dimension ref="A1:BK85"/>
  <sheetViews>
    <sheetView showRowColHeaders="0" topLeftCell="A20" zoomScale="70" workbookViewId="0">
      <selection activeCell="H38" sqref="H38"/>
    </sheetView>
  </sheetViews>
  <sheetFormatPr defaultRowHeight="14.25" defaultColWidth="9.140625" customHeight="1"/>
  <cols>
    <col min="1" max="2" style="19" width="2.421875" customWidth="1"/>
    <col min="3" max="3" style="19" width="18.421875" customWidth="1"/>
    <col min="4" max="4" style="19" width="16.7109375" customWidth="1"/>
    <col min="5" max="5" style="19" width="15.57421875" customWidth="1"/>
    <col min="6" max="10" style="19" width="15.57421875" customWidth="1"/>
    <col min="11" max="11" style="19" width="15.57421875" customWidth="1"/>
    <col min="12" max="17" style="19" width="15.57421875" customWidth="1"/>
    <col min="18" max="18" style="19" width="15.57421875" hidden="1" customWidth="1"/>
    <col min="19" max="19" style="19" width="11.140625" hidden="1" customWidth="1"/>
    <col min="20" max="20" style="19" width="11.421875" hidden="1" customWidth="1"/>
    <col min="21" max="21" style="19" width="11.57421875" hidden="1" customWidth="1"/>
    <col min="22" max="22" style="19" width="9.28125" hidden="1" customWidth="1"/>
    <col min="23" max="23" style="19" width="12.57421875" hidden="1" customWidth="1"/>
    <col min="24" max="24" style="19" width="15.57421875" hidden="1" customWidth="1"/>
    <col min="25" max="25" style="19" width="10.00390625" hidden="1" customWidth="1"/>
    <col min="26" max="26" style="19" width="11.28125" hidden="1" customWidth="1"/>
    <col min="27" max="27" style="19" width="14.00390625" hidden="1" customWidth="1"/>
    <col min="28" max="28" style="19" width="17.28125" hidden="1" customWidth="1"/>
    <col min="29" max="29" style="19" width="4.57421875" customWidth="1"/>
    <col min="30" max="30" style="19" width="9.28125" hidden="1" customWidth="1"/>
    <col min="31" max="48" style="19" width="9.140625" hidden="1" customWidth="1"/>
    <col min="49" max="53" style="19" width="10.7109375" customWidth="1"/>
    <col min="54" max="54" style="19" width="9.57421875" customWidth="1"/>
    <col min="55" max="55" style="19" width="14.00390625" customWidth="1"/>
    <col min="56" max="56" style="19" width="12.8515625" customWidth="1"/>
    <col min="57" max="57" style="19" width="4.57421875" customWidth="1"/>
    <col min="58" max="58" style="19" width="9.28125" customWidth="1"/>
    <col min="59" max="59" style="19" width="10.00390625" customWidth="1"/>
    <col min="60" max="60" style="19" width="8.8515625" customWidth="1"/>
    <col min="61" max="63" style="19" width="10.7109375" customWidth="1"/>
    <col min="64" max="64" width="9.140625" customWidth="1"/>
  </cols>
  <sheetData>
    <row r="1" ht="14.25" customHeight="1">
      <c r="B1" s="1"/>
      <c r="N1" s="2"/>
      <c r="P1" s="3"/>
      <c r="R1" s="2"/>
      <c r="S1" s="2"/>
      <c r="T1" s="2"/>
    </row>
    <row r="2" ht="46.5" customHeight="1">
      <c r="B2" s="4"/>
      <c r="C2" s="5"/>
      <c r="D2" s="6"/>
      <c r="E2" s="7" t="s">
        <v>3</v>
      </c>
      <c r="F2" s="5"/>
      <c r="G2" s="5"/>
    </row>
    <row r="3" ht="3.75" customHeight="1">
      <c r="A3" s="8"/>
      <c r="B3" s="9"/>
      <c r="C3" s="8"/>
      <c r="D3" s="8"/>
      <c r="E3" s="8"/>
      <c r="F3" s="8"/>
      <c r="G3" s="8"/>
      <c r="H3" s="8"/>
      <c r="I3" s="8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ht="15.75" customHeight="1">
      <c r="B4" s="11"/>
      <c r="J4" s="12"/>
    </row>
    <row r="5" ht="19.5" customHeight="1" s="13" customFormat="1">
      <c r="A5" s="13"/>
      <c r="B5" s="11"/>
      <c r="C5" s="14" t="s">
        <v>8</v>
      </c>
      <c r="D5" s="14" t="s">
        <v>9</v>
      </c>
      <c r="E5" s="14" t="s">
        <v>193</v>
      </c>
      <c r="F5" s="14" t="s">
        <v>194</v>
      </c>
      <c r="G5" s="14" t="s">
        <v>6</v>
      </c>
      <c r="H5" s="14" t="s">
        <v>7</v>
      </c>
      <c r="I5" s="15"/>
      <c r="J5" s="15"/>
      <c r="K5" s="15"/>
      <c r="L5" s="15"/>
      <c r="M5" s="15"/>
      <c r="N5" s="15"/>
      <c r="O5" s="15"/>
      <c r="P5" s="15"/>
      <c r="Q5" s="15"/>
      <c r="R5" s="16"/>
      <c r="S5" s="16"/>
      <c r="T5" s="16"/>
      <c r="U5" s="16"/>
      <c r="V5" s="13"/>
      <c r="W5" s="13"/>
      <c r="X5" s="13"/>
      <c r="Y5" s="13"/>
      <c r="Z5" s="13"/>
      <c r="AA5" s="13"/>
      <c r="AB5" s="13"/>
      <c r="AC5" s="13"/>
      <c r="AD5" s="13" t="s">
        <v>10</v>
      </c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ht="8.25" customHeight="1">
      <c r="B6" s="11"/>
      <c r="AD6" s="17" t="s">
        <v>11</v>
      </c>
      <c r="AE6" s="18" t="s">
        <v>12</v>
      </c>
      <c r="AF6" s="18" t="s">
        <v>13</v>
      </c>
      <c r="AG6" s="18" t="s">
        <v>14</v>
      </c>
      <c r="AH6" s="18" t="s">
        <v>15</v>
      </c>
      <c r="AI6" s="18"/>
      <c r="AK6" s="17" t="s">
        <v>16</v>
      </c>
      <c r="AL6" s="18" t="s">
        <v>17</v>
      </c>
      <c r="AM6" s="18" t="s">
        <v>18</v>
      </c>
      <c r="AN6" s="18" t="s">
        <v>19</v>
      </c>
      <c r="AO6" s="18"/>
      <c r="AP6" s="18"/>
      <c r="AQ6" s="18"/>
      <c r="AR6" s="18"/>
      <c r="AS6" s="18"/>
      <c r="AT6" s="18"/>
      <c r="AU6" s="18"/>
      <c r="AV6" s="18"/>
      <c r="AW6" s="18"/>
      <c r="BB6" s="18" t="s">
        <v>20</v>
      </c>
      <c r="BC6" s="18" t="s">
        <v>21</v>
      </c>
      <c r="BD6" s="18" t="s">
        <v>22</v>
      </c>
      <c r="BE6" s="18"/>
      <c r="BF6" s="18"/>
      <c r="BG6" s="18"/>
      <c r="BH6" s="18"/>
    </row>
    <row r="7" ht="3.75" customHeight="1">
      <c r="AD7" s="18" t="s">
        <v>23</v>
      </c>
      <c r="AE7" s="18">
        <v>0</v>
      </c>
      <c r="AF7" s="18">
        <v>3467793</v>
      </c>
      <c r="AG7" s="18">
        <v>0</v>
      </c>
      <c r="AH7" s="18">
        <v>0</v>
      </c>
      <c r="AI7" s="18"/>
      <c r="AK7" s="18" t="s">
        <v>24</v>
      </c>
      <c r="AL7" s="18">
        <v>0.1189</v>
      </c>
      <c r="AM7" s="18">
        <v>0.1298</v>
      </c>
      <c r="AN7" s="18">
        <v>0.1416</v>
      </c>
      <c r="AO7" s="18"/>
      <c r="AP7" s="18"/>
      <c r="AQ7" s="18"/>
      <c r="AR7" s="18"/>
      <c r="AS7" s="18"/>
      <c r="AT7" s="18"/>
      <c r="AU7" s="18"/>
      <c r="AW7" s="17"/>
      <c r="BB7" s="18" t="s">
        <v>25</v>
      </c>
      <c r="BC7" s="18">
        <v>100</v>
      </c>
      <c r="BD7" s="18">
        <v>100</v>
      </c>
      <c r="BE7" s="18"/>
      <c r="BF7" s="18"/>
      <c r="BG7" s="18"/>
      <c r="BH7" s="18"/>
      <c r="BJ7" s="19">
        <f t="shared" si="0" ref="BJ7:BJ11">IF($AE7="","",$AE7)</f>
        <v>0</v>
      </c>
    </row>
    <row r="8" ht="15.75" customHeight="1" s="20" customFormat="1">
      <c r="A8" s="20"/>
      <c r="B8" s="20"/>
      <c r="C8" s="21" t="s">
        <v>190</v>
      </c>
      <c r="D8" s="23"/>
      <c r="E8" s="21" t="s">
        <v>26</v>
      </c>
      <c r="F8" s="23"/>
      <c r="G8" s="24" t="s">
        <v>27</v>
      </c>
      <c r="H8" s="25"/>
      <c r="I8" s="26" t="s">
        <v>28</v>
      </c>
      <c r="J8" s="27"/>
      <c r="K8" s="26" t="s">
        <v>29</v>
      </c>
      <c r="L8" s="27"/>
      <c r="M8" s="26" t="s">
        <v>30</v>
      </c>
      <c r="N8" s="27"/>
      <c r="O8" s="28" t="s">
        <v>31</v>
      </c>
      <c r="P8" s="29"/>
      <c r="Q8" s="20"/>
      <c r="R8" s="3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 t="s">
        <v>32</v>
      </c>
      <c r="AE8" s="20">
        <v>3467793</v>
      </c>
      <c r="AF8" s="20">
        <v>0</v>
      </c>
      <c r="AG8" s="20">
        <v>1157203</v>
      </c>
      <c r="AH8" s="20">
        <v>0</v>
      </c>
      <c r="AI8" s="20"/>
      <c r="AJ8" s="20"/>
      <c r="AK8" s="20" t="s">
        <v>33</v>
      </c>
      <c r="AL8" s="20">
        <v>0.1581</v>
      </c>
      <c r="AM8" s="20">
        <v>0.1643</v>
      </c>
      <c r="AN8" s="20">
        <v>0.1717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 t="s">
        <v>34</v>
      </c>
      <c r="BC8" s="20">
        <v>110</v>
      </c>
      <c r="BD8" s="20">
        <v>106.1</v>
      </c>
      <c r="BE8" s="20"/>
      <c r="BF8" s="20"/>
      <c r="BG8" s="20"/>
      <c r="BH8" s="20"/>
      <c r="BI8" s="20"/>
      <c r="BJ8" s="20">
        <f t="shared" si="0"/>
        <v>3467793</v>
      </c>
      <c r="BK8" s="20"/>
    </row>
    <row r="9" ht="29.25" customHeight="1">
      <c r="C9" s="31" t="s">
        <v>191</v>
      </c>
      <c r="D9" s="33"/>
      <c r="E9" s="31">
        <f>F38</f>
      </c>
      <c r="F9" s="33"/>
      <c r="G9" s="31">
        <f>H38</f>
        <v>3845816.907756</v>
      </c>
      <c r="H9" s="34"/>
      <c r="I9" s="35">
        <f t="shared" si="1" ref="I9:K9">K38</f>
        <v>0.166492896019284</v>
      </c>
      <c r="J9" s="36"/>
      <c r="K9" s="37">
        <f t="shared" si="1"/>
        <v>1229</v>
      </c>
      <c r="L9" s="38"/>
      <c r="M9" s="39">
        <f>U38/M38</f>
        <v>353.274206672091</v>
      </c>
      <c r="N9" s="40"/>
      <c r="O9" s="41">
        <f>N38</f>
        <v>0.76174168297456</v>
      </c>
      <c r="P9" s="42"/>
      <c r="R9" s="43"/>
      <c r="AD9" s="19" t="s">
        <v>35</v>
      </c>
      <c r="AE9" s="19">
        <v>4624390</v>
      </c>
      <c r="AF9" s="19">
        <v>0</v>
      </c>
      <c r="AG9" s="19">
        <v>0</v>
      </c>
      <c r="AH9" s="19">
        <v>607</v>
      </c>
      <c r="AK9" s="19" t="s">
        <v>36</v>
      </c>
      <c r="AL9" s="19">
        <v>0.1651</v>
      </c>
      <c r="AM9" s="19">
        <v>0.1732</v>
      </c>
      <c r="AN9" s="19">
        <v>0.1825</v>
      </c>
      <c r="BB9" s="19" t="s">
        <v>37</v>
      </c>
      <c r="BC9" s="19">
        <v>121</v>
      </c>
      <c r="BD9" s="19">
        <v>112.5</v>
      </c>
      <c r="BJ9" s="19">
        <f t="shared" si="0"/>
        <v>4624390</v>
      </c>
    </row>
    <row r="10" ht="15.75" customHeight="1">
      <c r="C10" s="44" t="s">
        <v>192</v>
      </c>
      <c r="D10" s="46"/>
      <c r="E10" s="44">
        <f>G38</f>
      </c>
      <c r="F10" s="46"/>
      <c r="G10" s="44">
        <f>I38</f>
        <v>0.109009847953962</v>
      </c>
      <c r="H10" s="47"/>
      <c r="I10" s="48">
        <f>L38</f>
        <v>0.711838686150498</v>
      </c>
      <c r="J10" s="49"/>
      <c r="K10" s="50">
        <f>AA38</f>
        <v>0.0603968938740293</v>
      </c>
      <c r="L10" s="51"/>
      <c r="M10" s="50">
        <f>IF(OR(V38=0,Y38=0),"",M9/(V38/Y38)-1)</f>
        <v>0.037351737596854</v>
      </c>
      <c r="N10" s="51"/>
      <c r="O10" s="52">
        <f>Q38-P38</f>
        <v>974</v>
      </c>
      <c r="P10" s="53"/>
      <c r="R10" s="54"/>
      <c r="AD10" s="19" t="s">
        <v>38</v>
      </c>
      <c r="AE10" s="19">
        <v>3845817</v>
      </c>
      <c r="AF10" s="19">
        <v>0</v>
      </c>
      <c r="AG10" s="19">
        <v>0</v>
      </c>
      <c r="AH10" s="19">
        <v>778573</v>
      </c>
      <c r="AK10" s="19" t="s">
        <v>39</v>
      </c>
      <c r="AL10" s="19">
        <v>0.198</v>
      </c>
      <c r="AM10" s="19">
        <v>0.2039</v>
      </c>
      <c r="AN10" s="19">
        <v>0.2114</v>
      </c>
      <c r="BJ10" s="19">
        <f t="shared" si="0"/>
        <v>3845817</v>
      </c>
    </row>
    <row r="11" ht="6" customHeight="1">
      <c r="AD11" s="19" t="s">
        <v>40</v>
      </c>
      <c r="AE11" s="19">
        <v>0</v>
      </c>
      <c r="AF11" s="19">
        <v>3845817</v>
      </c>
      <c r="AG11" s="19">
        <v>0</v>
      </c>
      <c r="AH11" s="19">
        <v>0</v>
      </c>
      <c r="AK11" s="19" t="s">
        <v>41</v>
      </c>
      <c r="AL11" s="19">
        <v>0.063</v>
      </c>
      <c r="AM11" s="19">
        <v>0.0532</v>
      </c>
      <c r="AN11" s="19">
        <v>0.0419</v>
      </c>
      <c r="BJ11" s="19">
        <f t="shared" si="0"/>
        <v>0</v>
      </c>
    </row>
    <row r="12" ht="30" customHeight="1">
      <c r="C12" s="55" t="s">
        <v>42</v>
      </c>
      <c r="D12" s="56"/>
      <c r="E12" s="56"/>
      <c r="F12" s="57"/>
      <c r="G12" s="58"/>
      <c r="H12" s="58"/>
      <c r="I12" s="59" t="s">
        <v>43</v>
      </c>
      <c r="J12" s="60"/>
      <c r="K12" s="58"/>
      <c r="L12" s="58"/>
      <c r="M12" s="58"/>
      <c r="N12" s="59" t="s">
        <v>44</v>
      </c>
      <c r="O12" s="58"/>
      <c r="P12" s="58"/>
      <c r="Q12" s="58"/>
      <c r="R12" s="58"/>
    </row>
    <row r="13" ht="6" customHeight="1">
      <c r="C13" s="61"/>
    </row>
    <row r="14" ht="14.25" customHeight="1">
      <c r="C14" s="61"/>
    </row>
    <row r="15" ht="14.25" customHeight="1">
      <c r="C15" s="61"/>
    </row>
    <row r="16" ht="14.25" customHeight="1">
      <c r="C16" s="61"/>
    </row>
    <row r="17" ht="14.25" customHeight="1">
      <c r="C17" s="61"/>
    </row>
    <row r="18" ht="14.25" customHeight="1">
      <c r="C18" s="61"/>
    </row>
    <row r="19" ht="14.25" customHeight="1">
      <c r="C19" s="61"/>
    </row>
    <row r="20" ht="14.25" customHeight="1">
      <c r="C20" s="61"/>
    </row>
    <row r="21" ht="14.25" customHeight="1">
      <c r="C21" s="61"/>
    </row>
    <row r="22" ht="14.25" customHeight="1">
      <c r="C22" s="61"/>
    </row>
    <row r="23" ht="14.25" customHeight="1">
      <c r="C23" s="61"/>
    </row>
    <row r="24" ht="14.25" customHeight="1">
      <c r="C24" s="61"/>
    </row>
    <row r="25" ht="14.25" customHeight="1">
      <c r="C25" s="61"/>
    </row>
    <row r="26" ht="14.25" customHeight="1">
      <c r="C26" s="61"/>
    </row>
    <row r="27" ht="14.25" customHeight="1">
      <c r="C27" s="61"/>
    </row>
    <row r="28" ht="14.25" customHeight="1">
      <c r="C28" s="61"/>
    </row>
    <row r="29" ht="14.25" customHeight="1">
      <c r="C29" s="61"/>
    </row>
    <row r="30" ht="14.25" customHeight="1">
      <c r="C30" s="61"/>
    </row>
    <row r="31" ht="14.25" customHeight="1">
      <c r="C31" s="61"/>
    </row>
    <row r="32" ht="14.25" customHeight="1">
      <c r="C32" s="62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</row>
    <row r="36" ht="14.25" customHeight="1">
      <c r="R36" s="64"/>
    </row>
    <row r="37" ht="30" customHeight="1" s="20" customFormat="1">
      <c r="A37" s="20"/>
      <c r="B37" s="20"/>
      <c r="C37" s="65"/>
      <c r="D37" s="65"/>
      <c r="E37" s="65"/>
      <c r="F37" s="66" t="s">
        <v>45</v>
      </c>
      <c r="G37" s="66" t="s">
        <v>46</v>
      </c>
      <c r="H37" s="66" t="s">
        <v>47</v>
      </c>
      <c r="I37" s="66" t="s">
        <v>48</v>
      </c>
      <c r="J37" s="66" t="s">
        <v>49</v>
      </c>
      <c r="K37" s="66" t="s">
        <v>50</v>
      </c>
      <c r="L37" s="66" t="s">
        <v>51</v>
      </c>
      <c r="M37" s="66" t="s">
        <v>52</v>
      </c>
      <c r="N37" s="66" t="s">
        <v>53</v>
      </c>
      <c r="O37" s="66" t="s">
        <v>54</v>
      </c>
      <c r="P37" s="67" t="s">
        <v>55</v>
      </c>
      <c r="Q37" s="67" t="s">
        <v>56</v>
      </c>
      <c r="R37" s="68" t="s">
        <v>57</v>
      </c>
      <c r="S37" s="69" t="s">
        <v>58</v>
      </c>
      <c r="T37" s="69" t="s">
        <v>59</v>
      </c>
      <c r="U37" s="69" t="s">
        <v>60</v>
      </c>
      <c r="V37" s="69" t="s">
        <v>61</v>
      </c>
      <c r="W37" s="69" t="s">
        <v>62</v>
      </c>
      <c r="X37" s="69" t="s">
        <v>63</v>
      </c>
      <c r="Y37" s="69" t="s">
        <v>64</v>
      </c>
      <c r="Z37" s="69" t="s">
        <v>65</v>
      </c>
      <c r="AA37" s="69" t="s">
        <v>66</v>
      </c>
      <c r="AB37" s="70"/>
      <c r="AC37" s="71"/>
      <c r="AD37" s="71"/>
      <c r="AE37" s="71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</row>
    <row r="38" ht="18" customHeight="1">
      <c r="B38" s="12">
        <v>2</v>
      </c>
      <c r="C38" s="72" t="s">
        <v>9</v>
      </c>
      <c r="D38" s="73" t="s">
        <v>67</v>
      </c>
      <c r="E38" s="74" t="s">
        <v>68</v>
      </c>
      <c r="F38" s="75">
        <v>23098985</v>
      </c>
      <c r="G38" s="76">
        <f t="shared" si="2" ref="G38:G57">IF(T38=0,"",(F38-T38)/T38)</f>
        <v>0.0615942445276089</v>
      </c>
      <c r="H38" s="75">
        <v>3845816.907756</v>
      </c>
      <c r="I38" s="76">
        <f t="shared" si="3" ref="I38:I57">IF(S38=0,"",(H38-S38)/S38)</f>
        <v>0.109009847953962</v>
      </c>
      <c r="J38" s="77">
        <v>0.999984</v>
      </c>
      <c r="K38" s="77">
        <f t="shared" si="4" ref="K38:K57">IF(F38=0,"",H38/F38)</f>
        <v>0.166492896019284</v>
      </c>
      <c r="L38" s="78">
        <f t="shared" si="5" ref="L38:L57">IF(AND(ISNUMBER(K38),ISNUMBER(W38)),(K38-W38)*100,"")</f>
        <v>0.711838686150498</v>
      </c>
      <c r="M38" s="75">
        <v>1229</v>
      </c>
      <c r="N38" s="79">
        <f t="shared" si="6" ref="N38:N57">IF(Q38=0,"",P38/Q38)</f>
        <v>0.76174168297456</v>
      </c>
      <c r="O38" s="79">
        <f t="shared" si="7" ref="O38:O57">IF(P38=0,"",R38/P38)</f>
        <v>0.863840719332049</v>
      </c>
      <c r="P38" s="75">
        <v>3114</v>
      </c>
      <c r="Q38" s="75">
        <v>4088</v>
      </c>
      <c r="R38" s="80">
        <v>2690</v>
      </c>
      <c r="S38" s="81">
        <v>3467793.288627</v>
      </c>
      <c r="T38" s="81">
        <v>21758770</v>
      </c>
      <c r="U38" s="81">
        <v>434174</v>
      </c>
      <c r="V38" s="81">
        <v>394702</v>
      </c>
      <c r="W38" s="82">
        <f t="shared" si="8" ref="W38:W57">IF(T38=0,"",S38/T38)</f>
        <v>0.159374509157779</v>
      </c>
      <c r="X38" s="81">
        <v>4088</v>
      </c>
      <c r="Y38" s="81">
        <v>1159</v>
      </c>
      <c r="Z38" s="81">
        <v>2933</v>
      </c>
      <c r="AA38" s="81">
        <f t="shared" si="9" ref="AA38:AA57">IF(Y38=0,"",(M38-Y38)/Y38)</f>
        <v>0.0603968938740293</v>
      </c>
      <c r="AB38" s="81">
        <f t="shared" si="10" ref="AB38:AB57">IF(T38=0,"",(U38-T38)/T38)</f>
        <v>-0.980046022822062</v>
      </c>
      <c r="AC38" s="64"/>
      <c r="AD38" s="64"/>
      <c r="AE38" s="64"/>
    </row>
    <row r="39" ht="18" customHeight="1">
      <c r="B39" s="12">
        <v>3</v>
      </c>
      <c r="C39" s="72" t="s">
        <v>24</v>
      </c>
      <c r="D39" s="73" t="s">
        <v>67</v>
      </c>
      <c r="E39" s="74" t="s">
        <v>68</v>
      </c>
      <c r="F39" s="75">
        <v>2582800</v>
      </c>
      <c r="G39" s="76">
        <f t="shared" si="2"/>
        <v>0.0587979683278879</v>
      </c>
      <c r="H39" s="75">
        <v>365679.751826</v>
      </c>
      <c r="I39" s="76">
        <f t="shared" si="3"/>
        <v>0.154871551731531</v>
      </c>
      <c r="J39" s="77">
        <v>0.095085</v>
      </c>
      <c r="K39" s="77">
        <f t="shared" si="4"/>
        <v>0.14158268229286</v>
      </c>
      <c r="L39" s="78">
        <f t="shared" si="5"/>
        <v>1.177824115191</v>
      </c>
      <c r="M39" s="75">
        <v>130</v>
      </c>
      <c r="N39" s="77">
        <f t="shared" si="6"/>
        <v>0.657986111111111</v>
      </c>
      <c r="O39" s="77">
        <f t="shared" si="7"/>
        <v>1</v>
      </c>
      <c r="P39" s="75">
        <v>379</v>
      </c>
      <c r="Q39" s="75">
        <v>576</v>
      </c>
      <c r="R39" s="80">
        <v>379</v>
      </c>
      <c r="S39" s="64">
        <v>316641.059586</v>
      </c>
      <c r="T39" s="64">
        <v>2439370</v>
      </c>
      <c r="U39" s="64">
        <v>51871</v>
      </c>
      <c r="V39" s="64">
        <v>47155</v>
      </c>
      <c r="W39" s="64">
        <f t="shared" si="8"/>
        <v>0.12980444114095</v>
      </c>
      <c r="X39" s="64">
        <v>576</v>
      </c>
      <c r="Y39" s="64">
        <v>123</v>
      </c>
      <c r="Z39" s="64">
        <v>358</v>
      </c>
      <c r="AA39" s="64">
        <f t="shared" si="9"/>
        <v>0.0569105691056911</v>
      </c>
      <c r="AB39" s="64">
        <f t="shared" si="10"/>
        <v>-0.978735903122528</v>
      </c>
      <c r="AC39" s="64"/>
      <c r="AD39" s="64"/>
      <c r="AE39" s="64"/>
    </row>
    <row r="40" ht="18" customHeight="1">
      <c r="B40" s="83">
        <v>4</v>
      </c>
      <c r="C40" s="72" t="s">
        <v>69</v>
      </c>
      <c r="D40" s="73" t="s">
        <v>67</v>
      </c>
      <c r="E40" s="74" t="s">
        <v>68</v>
      </c>
      <c r="F40" s="75">
        <v>781650</v>
      </c>
      <c r="G40" s="76">
        <f t="shared" si="2"/>
        <v>0.0540474938306566</v>
      </c>
      <c r="H40" s="75">
        <v>107890.617776</v>
      </c>
      <c r="I40" s="76">
        <f t="shared" si="3"/>
        <v>0.152307524620808</v>
      </c>
      <c r="J40" s="77">
        <v>0.028054</v>
      </c>
      <c r="K40" s="77">
        <f t="shared" si="4"/>
        <v>0.138029319741572</v>
      </c>
      <c r="L40" s="78">
        <f t="shared" si="5"/>
        <v>1.1770091679487</v>
      </c>
      <c r="M40" s="75">
        <v>40</v>
      </c>
      <c r="N40" s="77">
        <f t="shared" si="6"/>
        <v>0.609375</v>
      </c>
      <c r="O40" s="77">
        <f t="shared" si="7"/>
        <v>1</v>
      </c>
      <c r="P40" s="75">
        <v>117</v>
      </c>
      <c r="Q40" s="75">
        <v>192</v>
      </c>
      <c r="R40" s="80">
        <v>117</v>
      </c>
      <c r="S40" s="64">
        <v>93630.055754</v>
      </c>
      <c r="T40" s="64">
        <v>741570</v>
      </c>
      <c r="U40" s="64">
        <v>15178</v>
      </c>
      <c r="V40" s="64">
        <v>13798</v>
      </c>
      <c r="W40" s="64">
        <f t="shared" si="8"/>
        <v>0.126259228062085</v>
      </c>
      <c r="X40" s="64">
        <v>192</v>
      </c>
      <c r="Y40" s="64">
        <v>38</v>
      </c>
      <c r="Z40" s="64">
        <v>111</v>
      </c>
      <c r="AA40" s="64">
        <f t="shared" si="9"/>
        <v>0.0526315789473684</v>
      </c>
      <c r="AB40" s="64">
        <f t="shared" si="10"/>
        <v>-0.979532613239478</v>
      </c>
      <c r="AC40" s="64"/>
      <c r="AD40" s="64"/>
      <c r="AE40" s="64"/>
    </row>
    <row r="41" ht="18" customHeight="1">
      <c r="B41" s="83">
        <v>4</v>
      </c>
      <c r="C41" s="72" t="s">
        <v>70</v>
      </c>
      <c r="D41" s="73" t="s">
        <v>67</v>
      </c>
      <c r="E41" s="74" t="s">
        <v>68</v>
      </c>
      <c r="F41" s="75">
        <v>1019500</v>
      </c>
      <c r="G41" s="76">
        <f t="shared" si="2"/>
        <v>0.0661660897482823</v>
      </c>
      <c r="H41" s="75">
        <v>149898.516029</v>
      </c>
      <c r="I41" s="76">
        <f t="shared" si="3"/>
        <v>0.158582429212553</v>
      </c>
      <c r="J41" s="77">
        <v>0.038977</v>
      </c>
      <c r="K41" s="77">
        <f t="shared" si="4"/>
        <v>0.147031403657675</v>
      </c>
      <c r="L41" s="78">
        <f t="shared" si="5"/>
        <v>1.1728215247983</v>
      </c>
      <c r="M41" s="75">
        <v>50</v>
      </c>
      <c r="N41" s="77">
        <f t="shared" si="6"/>
        <v>0.755208333333333</v>
      </c>
      <c r="O41" s="77">
        <f t="shared" si="7"/>
        <v>1</v>
      </c>
      <c r="P41" s="75">
        <v>145</v>
      </c>
      <c r="Q41" s="75">
        <v>192</v>
      </c>
      <c r="R41" s="80">
        <v>145</v>
      </c>
      <c r="S41" s="64">
        <v>129380.967853</v>
      </c>
      <c r="T41" s="64">
        <v>956230</v>
      </c>
      <c r="U41" s="64">
        <v>21760</v>
      </c>
      <c r="V41" s="64">
        <v>19782</v>
      </c>
      <c r="W41" s="64">
        <f t="shared" si="8"/>
        <v>0.135303188409692</v>
      </c>
      <c r="X41" s="64">
        <v>192</v>
      </c>
      <c r="Y41" s="64">
        <v>47</v>
      </c>
      <c r="Z41" s="64">
        <v>136</v>
      </c>
      <c r="AA41" s="64">
        <f t="shared" si="9"/>
        <v>0.0638297872340425</v>
      </c>
      <c r="AB41" s="64">
        <f t="shared" si="10"/>
        <v>-0.977243968501302</v>
      </c>
      <c r="AC41" s="64"/>
      <c r="AD41" s="64"/>
      <c r="AE41" s="64"/>
    </row>
    <row r="42" ht="18" customHeight="1">
      <c r="B42" s="83">
        <v>4</v>
      </c>
      <c r="C42" s="72" t="s">
        <v>71</v>
      </c>
      <c r="D42" s="73" t="s">
        <v>67</v>
      </c>
      <c r="E42" s="74" t="s">
        <v>68</v>
      </c>
      <c r="F42" s="75">
        <v>781650</v>
      </c>
      <c r="G42" s="76">
        <f t="shared" si="2"/>
        <v>0.0540474938306566</v>
      </c>
      <c r="H42" s="75">
        <v>107890.618021</v>
      </c>
      <c r="I42" s="76">
        <f t="shared" si="3"/>
        <v>0.152307770608979</v>
      </c>
      <c r="J42" s="77">
        <v>0.028054</v>
      </c>
      <c r="K42" s="77">
        <f t="shared" si="4"/>
        <v>0.138029320055012</v>
      </c>
      <c r="L42" s="78">
        <f t="shared" si="5"/>
        <v>1.1770118659324</v>
      </c>
      <c r="M42" s="75">
        <v>40</v>
      </c>
      <c r="N42" s="77">
        <f t="shared" si="6"/>
        <v>0.609375</v>
      </c>
      <c r="O42" s="77">
        <f t="shared" si="7"/>
        <v>1</v>
      </c>
      <c r="P42" s="75">
        <v>117</v>
      </c>
      <c r="Q42" s="75">
        <v>192</v>
      </c>
      <c r="R42" s="80">
        <v>117</v>
      </c>
      <c r="S42" s="64">
        <v>93630.035979</v>
      </c>
      <c r="T42" s="64">
        <v>741570</v>
      </c>
      <c r="U42" s="64">
        <v>14933</v>
      </c>
      <c r="V42" s="64">
        <v>13575</v>
      </c>
      <c r="W42" s="64">
        <f t="shared" si="8"/>
        <v>0.126259201395688</v>
      </c>
      <c r="X42" s="64">
        <v>192</v>
      </c>
      <c r="Y42" s="64">
        <v>38</v>
      </c>
      <c r="Z42" s="64">
        <v>111</v>
      </c>
      <c r="AA42" s="64">
        <f t="shared" si="9"/>
        <v>0.0526315789473684</v>
      </c>
      <c r="AB42" s="64">
        <f t="shared" si="10"/>
        <v>-0.979862993378912</v>
      </c>
      <c r="AC42" s="64"/>
      <c r="AD42" s="64"/>
      <c r="AE42" s="64"/>
    </row>
    <row r="43" ht="18" customHeight="1">
      <c r="B43" s="83">
        <v>3</v>
      </c>
      <c r="C43" s="72" t="s">
        <v>33</v>
      </c>
      <c r="D43" s="73" t="s">
        <v>67</v>
      </c>
      <c r="E43" s="74" t="s">
        <v>68</v>
      </c>
      <c r="F43" s="75">
        <v>6292550</v>
      </c>
      <c r="G43" s="76">
        <f t="shared" si="2"/>
        <v>0.0638652194495165</v>
      </c>
      <c r="H43" s="75">
        <v>1080136.255572</v>
      </c>
      <c r="I43" s="76">
        <f t="shared" si="3"/>
        <v>0.111391991758978</v>
      </c>
      <c r="J43" s="77">
        <v>0.280855</v>
      </c>
      <c r="K43" s="77">
        <f t="shared" si="4"/>
        <v>0.171653186001224</v>
      </c>
      <c r="L43" s="78">
        <f t="shared" si="5"/>
        <v>0.734045408619702</v>
      </c>
      <c r="M43" s="75">
        <v>338</v>
      </c>
      <c r="N43" s="77">
        <f t="shared" si="6"/>
        <v>0.80019305019305</v>
      </c>
      <c r="O43" s="77">
        <f t="shared" si="7"/>
        <v>0.796139927623643</v>
      </c>
      <c r="P43" s="75">
        <v>829</v>
      </c>
      <c r="Q43" s="75">
        <v>1036</v>
      </c>
      <c r="R43" s="80">
        <v>660</v>
      </c>
      <c r="S43" s="64">
        <v>971876.946731</v>
      </c>
      <c r="T43" s="64">
        <v>5914800</v>
      </c>
      <c r="U43" s="64">
        <v>108103</v>
      </c>
      <c r="V43" s="64">
        <v>98275</v>
      </c>
      <c r="W43" s="64">
        <f t="shared" si="8"/>
        <v>0.164312731915027</v>
      </c>
      <c r="X43" s="64">
        <v>1036</v>
      </c>
      <c r="Y43" s="64">
        <v>318</v>
      </c>
      <c r="Z43" s="64">
        <v>779</v>
      </c>
      <c r="AA43" s="64">
        <f t="shared" si="9"/>
        <v>0.0628930817610063</v>
      </c>
      <c r="AB43" s="64">
        <f t="shared" si="10"/>
        <v>-0.981723304253736</v>
      </c>
      <c r="AC43" s="64"/>
      <c r="AD43" s="64"/>
      <c r="AE43" s="64"/>
    </row>
    <row r="44" ht="18" customHeight="1">
      <c r="B44" s="83">
        <v>4</v>
      </c>
      <c r="C44" s="72" t="s">
        <v>72</v>
      </c>
      <c r="D44" s="73" t="s">
        <v>67</v>
      </c>
      <c r="E44" s="74" t="s">
        <v>68</v>
      </c>
      <c r="F44" s="75">
        <v>1755850</v>
      </c>
      <c r="G44" s="76">
        <f t="shared" si="2"/>
        <v>0.0654429611650485</v>
      </c>
      <c r="H44" s="75">
        <v>289771.286902</v>
      </c>
      <c r="I44" s="76">
        <f t="shared" si="3"/>
        <v>0.115413052563397</v>
      </c>
      <c r="J44" s="77">
        <v>0.075345</v>
      </c>
      <c r="K44" s="77">
        <f t="shared" si="4"/>
        <v>0.165031914401572</v>
      </c>
      <c r="L44" s="78">
        <f t="shared" si="5"/>
        <v>0.7393368606669</v>
      </c>
      <c r="M44" s="75">
        <v>100</v>
      </c>
      <c r="N44" s="77">
        <f t="shared" si="6"/>
        <v>0.824324324324324</v>
      </c>
      <c r="O44" s="77">
        <f t="shared" si="7"/>
        <v>0.795081967213115</v>
      </c>
      <c r="P44" s="75">
        <v>244</v>
      </c>
      <c r="Q44" s="75">
        <v>296</v>
      </c>
      <c r="R44" s="80">
        <v>194</v>
      </c>
      <c r="S44" s="64">
        <v>259788.32347</v>
      </c>
      <c r="T44" s="64">
        <v>1648000</v>
      </c>
      <c r="U44" s="64">
        <v>25220</v>
      </c>
      <c r="V44" s="64">
        <v>22927</v>
      </c>
      <c r="W44" s="64">
        <f t="shared" si="8"/>
        <v>0.157638545794903</v>
      </c>
      <c r="X44" s="64">
        <v>296</v>
      </c>
      <c r="Y44" s="64">
        <v>94</v>
      </c>
      <c r="Z44" s="64">
        <v>229</v>
      </c>
      <c r="AA44" s="64">
        <f t="shared" si="9"/>
        <v>0.0638297872340425</v>
      </c>
      <c r="AB44" s="64">
        <f t="shared" si="10"/>
        <v>-0.984696601941748</v>
      </c>
      <c r="AC44" s="64"/>
      <c r="AD44" s="64"/>
      <c r="AE44" s="64"/>
    </row>
    <row r="45" ht="18" customHeight="1">
      <c r="B45" s="83">
        <v>4</v>
      </c>
      <c r="C45" s="72" t="s">
        <v>73</v>
      </c>
      <c r="D45" s="73" t="s">
        <v>67</v>
      </c>
      <c r="E45" s="74" t="s">
        <v>68</v>
      </c>
      <c r="F45" s="75">
        <v>2908720</v>
      </c>
      <c r="G45" s="76">
        <f t="shared" si="2"/>
        <v>0.0598437591091937</v>
      </c>
      <c r="H45" s="75">
        <v>526580.913096</v>
      </c>
      <c r="I45" s="76">
        <f t="shared" si="3"/>
        <v>0.104650086088985</v>
      </c>
      <c r="J45" s="77">
        <v>0.136922</v>
      </c>
      <c r="K45" s="77">
        <f t="shared" si="4"/>
        <v>0.181035270873786</v>
      </c>
      <c r="L45" s="78">
        <f t="shared" si="5"/>
        <v>0.734307238445497</v>
      </c>
      <c r="M45" s="75">
        <v>144</v>
      </c>
      <c r="N45" s="77">
        <f t="shared" si="6"/>
        <v>0.797297297297297</v>
      </c>
      <c r="O45" s="77">
        <f t="shared" si="7"/>
        <v>0.796610169491525</v>
      </c>
      <c r="P45" s="75">
        <v>354</v>
      </c>
      <c r="Q45" s="75">
        <v>444</v>
      </c>
      <c r="R45" s="80">
        <v>282</v>
      </c>
      <c r="S45" s="64">
        <v>476694.76491</v>
      </c>
      <c r="T45" s="64">
        <v>2744480</v>
      </c>
      <c r="U45" s="64">
        <v>60800</v>
      </c>
      <c r="V45" s="64">
        <v>55272</v>
      </c>
      <c r="W45" s="64">
        <f t="shared" si="8"/>
        <v>0.173692198489331</v>
      </c>
      <c r="X45" s="64">
        <v>444</v>
      </c>
      <c r="Y45" s="64">
        <v>136</v>
      </c>
      <c r="Z45" s="64">
        <v>334</v>
      </c>
      <c r="AA45" s="64">
        <f t="shared" si="9"/>
        <v>0.0588235294117647</v>
      </c>
      <c r="AB45" s="64">
        <f t="shared" si="10"/>
        <v>-0.977846440855827</v>
      </c>
      <c r="AC45" s="64"/>
      <c r="AD45" s="64"/>
      <c r="AE45" s="64"/>
    </row>
    <row r="46" ht="18" customHeight="1">
      <c r="B46" s="83">
        <v>4</v>
      </c>
      <c r="C46" s="72" t="s">
        <v>74</v>
      </c>
      <c r="D46" s="73" t="s">
        <v>67</v>
      </c>
      <c r="E46" s="74" t="s">
        <v>68</v>
      </c>
      <c r="F46" s="75">
        <v>1627980</v>
      </c>
      <c r="G46" s="76">
        <f t="shared" si="2"/>
        <v>0.0694072205580955</v>
      </c>
      <c r="H46" s="75">
        <v>263784.055574</v>
      </c>
      <c r="I46" s="76">
        <f t="shared" si="3"/>
        <v>0.120607213042351</v>
      </c>
      <c r="J46" s="77">
        <v>0.068588</v>
      </c>
      <c r="K46" s="77">
        <f t="shared" si="4"/>
        <v>0.162031508724923</v>
      </c>
      <c r="L46" s="78">
        <f t="shared" si="5"/>
        <v>0.740313995160299</v>
      </c>
      <c r="M46" s="75">
        <v>94</v>
      </c>
      <c r="N46" s="77">
        <f t="shared" si="6"/>
        <v>0.780405405405405</v>
      </c>
      <c r="O46" s="77">
        <f t="shared" si="7"/>
        <v>0.796536796536797</v>
      </c>
      <c r="P46" s="75">
        <v>231</v>
      </c>
      <c r="Q46" s="75">
        <v>296</v>
      </c>
      <c r="R46" s="80">
        <v>184</v>
      </c>
      <c r="S46" s="64">
        <v>235393.858351</v>
      </c>
      <c r="T46" s="64">
        <v>1522320</v>
      </c>
      <c r="U46" s="64">
        <v>22083</v>
      </c>
      <c r="V46" s="64">
        <v>20076</v>
      </c>
      <c r="W46" s="64">
        <f t="shared" si="8"/>
        <v>0.15462836877332</v>
      </c>
      <c r="X46" s="64">
        <v>296</v>
      </c>
      <c r="Y46" s="64">
        <v>88</v>
      </c>
      <c r="Z46" s="64">
        <v>216</v>
      </c>
      <c r="AA46" s="64">
        <f t="shared" si="9"/>
        <v>0.0681818181818182</v>
      </c>
      <c r="AB46" s="64">
        <f t="shared" si="10"/>
        <v>-0.985493851489831</v>
      </c>
      <c r="AC46" s="64"/>
      <c r="AD46" s="64"/>
      <c r="AE46" s="64"/>
    </row>
    <row r="47" ht="18" customHeight="1">
      <c r="B47" s="83">
        <v>3</v>
      </c>
      <c r="C47" s="72" t="s">
        <v>36</v>
      </c>
      <c r="D47" s="73" t="s">
        <v>67</v>
      </c>
      <c r="E47" s="74" t="s">
        <v>68</v>
      </c>
      <c r="F47" s="75">
        <v>9567455</v>
      </c>
      <c r="G47" s="76">
        <f t="shared" si="2"/>
        <v>0.05923730127098</v>
      </c>
      <c r="H47" s="75">
        <v>1746010.127975</v>
      </c>
      <c r="I47" s="76">
        <f t="shared" si="3"/>
        <v>0.116130467067482</v>
      </c>
      <c r="J47" s="77">
        <v>0.453995</v>
      </c>
      <c r="K47" s="77">
        <f t="shared" si="4"/>
        <v>0.182494731145848</v>
      </c>
      <c r="L47" s="78">
        <f t="shared" si="5"/>
        <v>0.930240980102298</v>
      </c>
      <c r="M47" s="75">
        <v>510</v>
      </c>
      <c r="N47" s="77">
        <f t="shared" si="6"/>
        <v>0.850817438692098</v>
      </c>
      <c r="O47" s="77">
        <f t="shared" si="7"/>
        <v>0.795836669335468</v>
      </c>
      <c r="P47" s="75">
        <v>1249</v>
      </c>
      <c r="Q47" s="75">
        <v>1468</v>
      </c>
      <c r="R47" s="80">
        <v>994</v>
      </c>
      <c r="S47" s="64">
        <v>1564342.323315</v>
      </c>
      <c r="T47" s="64">
        <v>9032400</v>
      </c>
      <c r="U47" s="64">
        <v>166530</v>
      </c>
      <c r="V47" s="64">
        <v>151390</v>
      </c>
      <c r="W47" s="64">
        <f t="shared" si="8"/>
        <v>0.173192321344825</v>
      </c>
      <c r="X47" s="64">
        <v>1468</v>
      </c>
      <c r="Y47" s="64">
        <v>482</v>
      </c>
      <c r="Z47" s="64">
        <v>1179</v>
      </c>
      <c r="AA47" s="64">
        <f t="shared" si="9"/>
        <v>0.0580912863070539</v>
      </c>
      <c r="AB47" s="64">
        <f t="shared" si="10"/>
        <v>-0.981563039723661</v>
      </c>
      <c r="AC47" s="64"/>
      <c r="AD47" s="64"/>
      <c r="AE47" s="64"/>
    </row>
    <row r="48" ht="18" customHeight="1">
      <c r="B48" s="83">
        <v>4</v>
      </c>
      <c r="C48" s="72" t="s">
        <v>75</v>
      </c>
      <c r="D48" s="73" t="s">
        <v>67</v>
      </c>
      <c r="E48" s="74" t="s">
        <v>68</v>
      </c>
      <c r="F48" s="75">
        <v>1773610</v>
      </c>
      <c r="G48" s="76">
        <f t="shared" si="2"/>
        <v>0.0640457628288003</v>
      </c>
      <c r="H48" s="75">
        <v>305136.216562</v>
      </c>
      <c r="I48" s="76">
        <f t="shared" si="3"/>
        <v>0.125178037002669</v>
      </c>
      <c r="J48" s="77">
        <v>0.07934</v>
      </c>
      <c r="K48" s="77">
        <f t="shared" si="4"/>
        <v>0.172042453843855</v>
      </c>
      <c r="L48" s="78">
        <f t="shared" si="5"/>
        <v>0.934727315327299</v>
      </c>
      <c r="M48" s="75">
        <v>102</v>
      </c>
      <c r="N48" s="77">
        <f t="shared" si="6"/>
        <v>0.841216216216216</v>
      </c>
      <c r="O48" s="77">
        <f t="shared" si="7"/>
        <v>0.795180722891566</v>
      </c>
      <c r="P48" s="75">
        <v>249</v>
      </c>
      <c r="Q48" s="75">
        <v>296</v>
      </c>
      <c r="R48" s="80">
        <v>198</v>
      </c>
      <c r="S48" s="64">
        <v>271189.27541</v>
      </c>
      <c r="T48" s="64">
        <v>1666855</v>
      </c>
      <c r="U48" s="64">
        <v>24923</v>
      </c>
      <c r="V48" s="64">
        <v>22657</v>
      </c>
      <c r="W48" s="64">
        <f t="shared" si="8"/>
        <v>0.162695180690582</v>
      </c>
      <c r="X48" s="64">
        <v>296</v>
      </c>
      <c r="Y48" s="64">
        <v>96</v>
      </c>
      <c r="Z48" s="64">
        <v>234</v>
      </c>
      <c r="AA48" s="64">
        <f t="shared" si="9"/>
        <v>0.0625</v>
      </c>
      <c r="AB48" s="64">
        <f t="shared" si="10"/>
        <v>-0.985047889588477</v>
      </c>
      <c r="AC48" s="64"/>
      <c r="AD48" s="64"/>
      <c r="AE48" s="64"/>
    </row>
    <row r="49" ht="18" customHeight="1">
      <c r="B49" s="83">
        <v>4</v>
      </c>
      <c r="C49" s="72" t="s">
        <v>76</v>
      </c>
      <c r="D49" s="73" t="s">
        <v>67</v>
      </c>
      <c r="E49" s="74" t="s">
        <v>68</v>
      </c>
      <c r="F49" s="75">
        <v>2496705</v>
      </c>
      <c r="G49" s="76">
        <f t="shared" si="2"/>
        <v>0.0657450745618809</v>
      </c>
      <c r="H49" s="75">
        <v>456976.670653</v>
      </c>
      <c r="I49" s="76">
        <f t="shared" si="3"/>
        <v>0.1228869636144</v>
      </c>
      <c r="J49" s="77">
        <v>0.118823</v>
      </c>
      <c r="K49" s="77">
        <f t="shared" si="4"/>
        <v>0.183031904311082</v>
      </c>
      <c r="L49" s="78">
        <f t="shared" si="5"/>
        <v>0.931419555851798</v>
      </c>
      <c r="M49" s="75">
        <v>132</v>
      </c>
      <c r="N49" s="77">
        <f t="shared" si="6"/>
        <v>0.852631578947368</v>
      </c>
      <c r="O49" s="77">
        <f t="shared" si="7"/>
        <v>0.796296296296296</v>
      </c>
      <c r="P49" s="75">
        <v>324</v>
      </c>
      <c r="Q49" s="75">
        <v>380</v>
      </c>
      <c r="R49" s="80">
        <v>258</v>
      </c>
      <c r="S49" s="64">
        <v>406965.870529</v>
      </c>
      <c r="T49" s="64">
        <v>2342685</v>
      </c>
      <c r="U49" s="64">
        <v>41783</v>
      </c>
      <c r="V49" s="64">
        <v>37985</v>
      </c>
      <c r="W49" s="64">
        <f t="shared" si="8"/>
        <v>0.173717708752564</v>
      </c>
      <c r="X49" s="64">
        <v>380</v>
      </c>
      <c r="Y49" s="64">
        <v>124</v>
      </c>
      <c r="Z49" s="64">
        <v>304</v>
      </c>
      <c r="AA49" s="64">
        <f t="shared" si="9"/>
        <v>0.0645161290322581</v>
      </c>
      <c r="AB49" s="64">
        <f t="shared" si="10"/>
        <v>-0.982164482207382</v>
      </c>
      <c r="AC49" s="64"/>
      <c r="AD49" s="64"/>
      <c r="AE49" s="64"/>
    </row>
    <row r="50" ht="18" customHeight="1">
      <c r="B50" s="83">
        <v>4</v>
      </c>
      <c r="C50" s="72" t="s">
        <v>77</v>
      </c>
      <c r="D50" s="73" t="s">
        <v>67</v>
      </c>
      <c r="E50" s="74" t="s">
        <v>68</v>
      </c>
      <c r="F50" s="75">
        <v>2158300</v>
      </c>
      <c r="G50" s="76">
        <f t="shared" si="2"/>
        <v>0.0537236483649537</v>
      </c>
      <c r="H50" s="75">
        <v>384274.75401</v>
      </c>
      <c r="I50" s="76">
        <f t="shared" si="3"/>
        <v>0.111984455939207</v>
      </c>
      <c r="J50" s="77">
        <v>0.099918</v>
      </c>
      <c r="K50" s="77">
        <f t="shared" si="4"/>
        <v>0.178045106801649</v>
      </c>
      <c r="L50" s="78">
        <f t="shared" si="5"/>
        <v>0.932841430606701</v>
      </c>
      <c r="M50" s="75">
        <v>120</v>
      </c>
      <c r="N50" s="77">
        <f t="shared" si="6"/>
        <v>0.844827586206897</v>
      </c>
      <c r="O50" s="77">
        <f t="shared" si="7"/>
        <v>0.795918367346939</v>
      </c>
      <c r="P50" s="75">
        <v>294</v>
      </c>
      <c r="Q50" s="75">
        <v>348</v>
      </c>
      <c r="R50" s="80">
        <v>234</v>
      </c>
      <c r="S50" s="64">
        <v>345575.652571</v>
      </c>
      <c r="T50" s="64">
        <v>2048260</v>
      </c>
      <c r="U50" s="64">
        <v>31533</v>
      </c>
      <c r="V50" s="64">
        <v>28666</v>
      </c>
      <c r="W50" s="64">
        <f t="shared" si="8"/>
        <v>0.168716692495582</v>
      </c>
      <c r="X50" s="64">
        <v>348</v>
      </c>
      <c r="Y50" s="64">
        <v>114</v>
      </c>
      <c r="Z50" s="64">
        <v>279</v>
      </c>
      <c r="AA50" s="64">
        <f t="shared" si="9"/>
        <v>0.0526315789473684</v>
      </c>
      <c r="AB50" s="64">
        <f t="shared" si="10"/>
        <v>-0.984604981789421</v>
      </c>
      <c r="AC50" s="64"/>
      <c r="AD50" s="64"/>
      <c r="AE50" s="64"/>
    </row>
    <row r="51" ht="18" customHeight="1">
      <c r="B51" s="83">
        <v>4</v>
      </c>
      <c r="C51" s="72" t="s">
        <v>78</v>
      </c>
      <c r="D51" s="73" t="s">
        <v>67</v>
      </c>
      <c r="E51" s="74" t="s">
        <v>68</v>
      </c>
      <c r="F51" s="75">
        <v>3138840</v>
      </c>
      <c r="G51" s="76">
        <f t="shared" si="2"/>
        <v>0.0552141464398575</v>
      </c>
      <c r="H51" s="75">
        <v>599622.48675</v>
      </c>
      <c r="I51" s="76">
        <f t="shared" si="3"/>
        <v>0.109155945142467</v>
      </c>
      <c r="J51" s="77">
        <v>0.155914</v>
      </c>
      <c r="K51" s="77">
        <f t="shared" si="4"/>
        <v>0.191033148153458</v>
      </c>
      <c r="L51" s="78">
        <f t="shared" si="5"/>
        <v>0.9290552575901</v>
      </c>
      <c r="M51" s="75">
        <v>156</v>
      </c>
      <c r="N51" s="77">
        <f t="shared" si="6"/>
        <v>0.86036036036036</v>
      </c>
      <c r="O51" s="77">
        <f t="shared" si="7"/>
        <v>0.795811518324607</v>
      </c>
      <c r="P51" s="75">
        <v>382</v>
      </c>
      <c r="Q51" s="75">
        <v>444</v>
      </c>
      <c r="R51" s="80">
        <v>304</v>
      </c>
      <c r="S51" s="64">
        <v>540611.524805</v>
      </c>
      <c r="T51" s="64">
        <v>2974600</v>
      </c>
      <c r="U51" s="64">
        <v>68291</v>
      </c>
      <c r="V51" s="64">
        <v>62082</v>
      </c>
      <c r="W51" s="64">
        <f t="shared" si="8"/>
        <v>0.181742595577557</v>
      </c>
      <c r="X51" s="64">
        <v>444</v>
      </c>
      <c r="Y51" s="64">
        <v>148</v>
      </c>
      <c r="Z51" s="64">
        <v>362</v>
      </c>
      <c r="AA51" s="64">
        <f t="shared" si="9"/>
        <v>0.0540540540540541</v>
      </c>
      <c r="AB51" s="64">
        <f t="shared" si="10"/>
        <v>-0.97704195522087</v>
      </c>
      <c r="AC51" s="64"/>
      <c r="AD51" s="64"/>
      <c r="AE51" s="64"/>
    </row>
    <row r="52" ht="18" customHeight="1">
      <c r="B52" s="83">
        <v>3</v>
      </c>
      <c r="C52" s="72" t="s">
        <v>39</v>
      </c>
      <c r="D52" s="73" t="s">
        <v>67</v>
      </c>
      <c r="E52" s="74" t="s">
        <v>68</v>
      </c>
      <c r="F52" s="75">
        <v>2706480</v>
      </c>
      <c r="G52" s="76">
        <f t="shared" si="2"/>
        <v>0.0665468689042051</v>
      </c>
      <c r="H52" s="75">
        <v>572262.783809</v>
      </c>
      <c r="I52" s="76">
        <f t="shared" si="3"/>
        <v>0.106034866607223</v>
      </c>
      <c r="J52" s="77">
        <v>0.148799</v>
      </c>
      <c r="K52" s="77">
        <f t="shared" si="4"/>
        <v>0.211441719062768</v>
      </c>
      <c r="L52" s="78">
        <f t="shared" si="5"/>
        <v>0.754895742327302</v>
      </c>
      <c r="M52" s="75">
        <v>164</v>
      </c>
      <c r="N52" s="77">
        <f t="shared" si="6"/>
        <v>0.644230769230769</v>
      </c>
      <c r="O52" s="77">
        <f t="shared" si="7"/>
        <v>1</v>
      </c>
      <c r="P52" s="75">
        <v>402</v>
      </c>
      <c r="Q52" s="75">
        <v>624</v>
      </c>
      <c r="R52" s="80">
        <v>402</v>
      </c>
      <c r="S52" s="64">
        <v>517400.310864</v>
      </c>
      <c r="T52" s="64">
        <v>2537610</v>
      </c>
      <c r="U52" s="64">
        <v>58580</v>
      </c>
      <c r="V52" s="64">
        <v>53255</v>
      </c>
      <c r="W52" s="64">
        <f t="shared" si="8"/>
        <v>0.203892761639495</v>
      </c>
      <c r="X52" s="64">
        <v>624</v>
      </c>
      <c r="Y52" s="64">
        <v>154</v>
      </c>
      <c r="Z52" s="64">
        <v>377</v>
      </c>
      <c r="AA52" s="64">
        <f t="shared" si="9"/>
        <v>0.0649350649350649</v>
      </c>
      <c r="AB52" s="64">
        <f t="shared" si="10"/>
        <v>-0.976915286430933</v>
      </c>
      <c r="AC52" s="64"/>
      <c r="AD52" s="64"/>
      <c r="AE52" s="64"/>
    </row>
    <row r="53" ht="18" customHeight="1">
      <c r="B53" s="83">
        <v>4</v>
      </c>
      <c r="C53" s="72" t="s">
        <v>79</v>
      </c>
      <c r="D53" s="73" t="s">
        <v>67</v>
      </c>
      <c r="E53" s="74" t="s">
        <v>68</v>
      </c>
      <c r="F53" s="75">
        <v>1132650</v>
      </c>
      <c r="G53" s="76">
        <f t="shared" si="2"/>
        <v>0.06026566317504</v>
      </c>
      <c r="H53" s="75">
        <v>232243.363153</v>
      </c>
      <c r="I53" s="76">
        <f t="shared" si="3"/>
        <v>0.100829666732937</v>
      </c>
      <c r="J53" s="77">
        <v>0.060387</v>
      </c>
      <c r="K53" s="77">
        <f t="shared" si="4"/>
        <v>0.20504424416457</v>
      </c>
      <c r="L53" s="78">
        <f t="shared" si="5"/>
        <v>0.755558802707701</v>
      </c>
      <c r="M53" s="75">
        <v>72</v>
      </c>
      <c r="N53" s="77">
        <f t="shared" si="6"/>
        <v>0.564102564102564</v>
      </c>
      <c r="O53" s="77">
        <f t="shared" si="7"/>
        <v>1</v>
      </c>
      <c r="P53" s="75">
        <v>176</v>
      </c>
      <c r="Q53" s="75">
        <v>312</v>
      </c>
      <c r="R53" s="80">
        <v>176</v>
      </c>
      <c r="S53" s="64">
        <v>210971.206692</v>
      </c>
      <c r="T53" s="64">
        <v>1068270</v>
      </c>
      <c r="U53" s="64">
        <v>21968</v>
      </c>
      <c r="V53" s="64">
        <v>19971</v>
      </c>
      <c r="W53" s="64">
        <f t="shared" si="8"/>
        <v>0.197488656137493</v>
      </c>
      <c r="X53" s="64">
        <v>312</v>
      </c>
      <c r="Y53" s="64">
        <v>68</v>
      </c>
      <c r="Z53" s="64">
        <v>166</v>
      </c>
      <c r="AA53" s="64">
        <f t="shared" si="9"/>
        <v>0.0588235294117647</v>
      </c>
      <c r="AB53" s="64">
        <f t="shared" si="10"/>
        <v>-0.979435910397184</v>
      </c>
      <c r="AC53" s="64"/>
      <c r="AD53" s="64"/>
      <c r="AE53" s="64"/>
    </row>
    <row r="54" ht="18" customHeight="1">
      <c r="B54" s="83">
        <v>4</v>
      </c>
      <c r="C54" s="72" t="s">
        <v>80</v>
      </c>
      <c r="D54" s="73" t="s">
        <v>67</v>
      </c>
      <c r="E54" s="74" t="s">
        <v>68</v>
      </c>
      <c r="F54" s="75">
        <v>1573830</v>
      </c>
      <c r="G54" s="76">
        <f t="shared" si="2"/>
        <v>0.0711135611907387</v>
      </c>
      <c r="H54" s="75">
        <v>340019.420656</v>
      </c>
      <c r="I54" s="76">
        <f t="shared" si="3"/>
        <v>0.109618557854562</v>
      </c>
      <c r="J54" s="77">
        <v>0.088412</v>
      </c>
      <c r="K54" s="77">
        <f t="shared" si="4"/>
        <v>0.216045837641931</v>
      </c>
      <c r="L54" s="78">
        <f t="shared" si="5"/>
        <v>0.749703057753501</v>
      </c>
      <c r="M54" s="75">
        <v>92</v>
      </c>
      <c r="N54" s="77">
        <f t="shared" si="6"/>
        <v>0.724358974358974</v>
      </c>
      <c r="O54" s="77">
        <f t="shared" si="7"/>
        <v>1</v>
      </c>
      <c r="P54" s="75">
        <v>226</v>
      </c>
      <c r="Q54" s="75">
        <v>312</v>
      </c>
      <c r="R54" s="80">
        <v>226</v>
      </c>
      <c r="S54" s="64">
        <v>306429.104172</v>
      </c>
      <c r="T54" s="64">
        <v>1469340</v>
      </c>
      <c r="U54" s="64">
        <v>36612</v>
      </c>
      <c r="V54" s="64">
        <v>33284</v>
      </c>
      <c r="W54" s="64">
        <f t="shared" si="8"/>
        <v>0.208548807064396</v>
      </c>
      <c r="X54" s="64">
        <v>312</v>
      </c>
      <c r="Y54" s="64">
        <v>86</v>
      </c>
      <c r="Z54" s="64">
        <v>211</v>
      </c>
      <c r="AA54" s="64">
        <f t="shared" si="9"/>
        <v>0.0697674418604651</v>
      </c>
      <c r="AB54" s="64">
        <f t="shared" si="10"/>
        <v>-0.975082690187431</v>
      </c>
      <c r="AC54" s="64"/>
      <c r="AD54" s="64"/>
      <c r="AE54" s="64"/>
    </row>
    <row r="55" ht="18" customHeight="1">
      <c r="B55" s="83">
        <v>3</v>
      </c>
      <c r="C55" s="72" t="s">
        <v>41</v>
      </c>
      <c r="D55" s="73" t="s">
        <v>67</v>
      </c>
      <c r="E55" s="74" t="s">
        <v>68</v>
      </c>
      <c r="F55" s="75">
        <v>1949700</v>
      </c>
      <c r="G55" s="76">
        <f t="shared" si="2"/>
        <v>0.0627442643860481</v>
      </c>
      <c r="H55" s="75">
        <v>81727.988574</v>
      </c>
      <c r="I55" s="76">
        <f t="shared" si="3"/>
        <v>-0.162044811248969</v>
      </c>
      <c r="J55" s="77">
        <v>0.02125</v>
      </c>
      <c r="K55" s="77">
        <f t="shared" si="4"/>
        <v>0.0419182379719957</v>
      </c>
      <c r="L55" s="78">
        <f t="shared" si="5"/>
        <v>-1.1244947334258</v>
      </c>
      <c r="M55" s="75">
        <v>87</v>
      </c>
      <c r="N55" s="77">
        <f t="shared" si="6"/>
        <v>0.6640625</v>
      </c>
      <c r="O55" s="77">
        <f t="shared" si="7"/>
        <v>1</v>
      </c>
      <c r="P55" s="75">
        <v>255</v>
      </c>
      <c r="Q55" s="75">
        <v>384</v>
      </c>
      <c r="R55" s="80">
        <v>255</v>
      </c>
      <c r="S55" s="64">
        <v>97532.648131</v>
      </c>
      <c r="T55" s="64">
        <v>1834590</v>
      </c>
      <c r="U55" s="64">
        <v>49090</v>
      </c>
      <c r="V55" s="64">
        <v>44627</v>
      </c>
      <c r="W55" s="64">
        <f t="shared" si="8"/>
        <v>0.0531631853062537</v>
      </c>
      <c r="X55" s="64">
        <v>384</v>
      </c>
      <c r="Y55" s="64">
        <v>82</v>
      </c>
      <c r="Z55" s="64">
        <v>240</v>
      </c>
      <c r="AA55" s="64">
        <f t="shared" si="9"/>
        <v>0.0609756097560976</v>
      </c>
      <c r="AB55" s="64">
        <f t="shared" si="10"/>
        <v>-0.9732419777716</v>
      </c>
      <c r="AC55" s="64"/>
      <c r="AD55" s="64"/>
      <c r="AE55" s="64"/>
    </row>
    <row r="56" ht="18" customHeight="1">
      <c r="B56" s="83">
        <v>4</v>
      </c>
      <c r="C56" s="72" t="s">
        <v>81</v>
      </c>
      <c r="D56" s="73" t="s">
        <v>67</v>
      </c>
      <c r="E56" s="74" t="s">
        <v>68</v>
      </c>
      <c r="F56" s="75">
        <v>863550</v>
      </c>
      <c r="G56" s="76">
        <f t="shared" si="2"/>
        <v>0.0540481160057124</v>
      </c>
      <c r="H56" s="75">
        <v>32830.609502</v>
      </c>
      <c r="I56" s="76">
        <f t="shared" si="3"/>
        <v>-0.186795400535368</v>
      </c>
      <c r="J56" s="77">
        <v>0.008536</v>
      </c>
      <c r="K56" s="77">
        <f t="shared" si="4"/>
        <v>0.0380181917688611</v>
      </c>
      <c r="L56" s="78">
        <f t="shared" si="5"/>
        <v>-1.12596940599865</v>
      </c>
      <c r="M56" s="75">
        <v>40</v>
      </c>
      <c r="N56" s="77">
        <f t="shared" si="6"/>
        <v>0.609375</v>
      </c>
      <c r="O56" s="77">
        <f t="shared" si="7"/>
        <v>1</v>
      </c>
      <c r="P56" s="75">
        <v>117</v>
      </c>
      <c r="Q56" s="75">
        <v>192</v>
      </c>
      <c r="R56" s="80">
        <v>117</v>
      </c>
      <c r="S56" s="64">
        <v>40371.893523</v>
      </c>
      <c r="T56" s="64">
        <v>819270</v>
      </c>
      <c r="U56" s="64">
        <v>18850</v>
      </c>
      <c r="V56" s="64">
        <v>17136</v>
      </c>
      <c r="W56" s="64">
        <f t="shared" si="8"/>
        <v>0.0492778858288476</v>
      </c>
      <c r="X56" s="64">
        <v>192</v>
      </c>
      <c r="Y56" s="64">
        <v>38</v>
      </c>
      <c r="Z56" s="64">
        <v>111</v>
      </c>
      <c r="AA56" s="64">
        <f t="shared" si="9"/>
        <v>0.0526315789473684</v>
      </c>
      <c r="AB56" s="64">
        <f t="shared" si="10"/>
        <v>-0.976991712133973</v>
      </c>
      <c r="AC56" s="64"/>
      <c r="AD56" s="64"/>
      <c r="AE56" s="64"/>
    </row>
    <row r="57" ht="14.25" customHeight="1">
      <c r="B57" s="83">
        <v>4</v>
      </c>
      <c r="C57" s="84" t="s">
        <v>82</v>
      </c>
      <c r="D57" s="85" t="s">
        <v>67</v>
      </c>
      <c r="E57" s="85" t="s">
        <v>68</v>
      </c>
      <c r="F57" s="80">
        <v>1086150</v>
      </c>
      <c r="G57" s="86">
        <f t="shared" si="2"/>
        <v>0.0697612575345704</v>
      </c>
      <c r="H57" s="80">
        <v>48897.379072</v>
      </c>
      <c r="I57" s="86">
        <f t="shared" si="3"/>
        <v>-0.144563793684478</v>
      </c>
      <c r="J57" s="87">
        <v>0.012714</v>
      </c>
      <c r="K57" s="87">
        <f t="shared" si="4"/>
        <v>0.0450189928389265</v>
      </c>
      <c r="L57" s="88">
        <f t="shared" si="5"/>
        <v>-1.12792723464338</v>
      </c>
      <c r="M57" s="80">
        <v>47</v>
      </c>
      <c r="N57" s="87">
        <f t="shared" si="6"/>
        <v>0.71875</v>
      </c>
      <c r="O57" s="87">
        <f t="shared" si="7"/>
        <v>1</v>
      </c>
      <c r="P57" s="80">
        <v>138</v>
      </c>
      <c r="Q57" s="80">
        <v>192</v>
      </c>
      <c r="R57" s="80">
        <v>138</v>
      </c>
      <c r="S57" s="19">
        <v>57160.754608</v>
      </c>
      <c r="T57" s="19">
        <v>1015320</v>
      </c>
      <c r="U57" s="19">
        <v>30240</v>
      </c>
      <c r="V57" s="19">
        <v>27491</v>
      </c>
      <c r="W57" s="19">
        <f t="shared" si="8"/>
        <v>0.0562982651853603</v>
      </c>
      <c r="X57" s="19">
        <v>192</v>
      </c>
      <c r="Y57" s="19">
        <v>44</v>
      </c>
      <c r="Z57" s="19">
        <v>129</v>
      </c>
      <c r="AA57" s="19">
        <f t="shared" si="9"/>
        <v>0.0681818181818182</v>
      </c>
      <c r="AB57" s="19">
        <f t="shared" si="10"/>
        <v>-0.970216286490958</v>
      </c>
    </row>
    <row r="58" ht="14.25" customHeight="1">
      <c r="B58" s="89"/>
      <c r="C58" s="90"/>
      <c r="D58" s="91"/>
      <c r="E58" s="91"/>
      <c r="F58" s="80"/>
      <c r="G58" s="86"/>
      <c r="H58" s="80"/>
      <c r="I58" s="86"/>
      <c r="J58" s="87"/>
      <c r="K58" s="87"/>
      <c r="L58" s="88"/>
      <c r="M58" s="80"/>
      <c r="N58" s="87"/>
      <c r="O58" s="87"/>
      <c r="P58" s="80"/>
      <c r="Q58" s="80"/>
      <c r="R58" s="80"/>
    </row>
    <row r="59" ht="14.25" customHeight="1">
      <c r="B59" s="89"/>
      <c r="C59" s="90"/>
      <c r="D59" s="91"/>
      <c r="E59" s="91"/>
      <c r="F59" s="80"/>
      <c r="G59" s="86"/>
      <c r="H59" s="80"/>
      <c r="I59" s="86"/>
      <c r="J59" s="87"/>
      <c r="K59" s="87"/>
      <c r="L59" s="88"/>
      <c r="M59" s="80"/>
      <c r="N59" s="87"/>
      <c r="O59" s="87"/>
      <c r="P59" s="80"/>
      <c r="Q59" s="80"/>
      <c r="R59" s="80"/>
    </row>
    <row r="60" ht="14.25" customHeight="1">
      <c r="B60" s="89"/>
      <c r="C60" s="90"/>
      <c r="D60" s="91"/>
      <c r="E60" s="91"/>
      <c r="F60" s="80"/>
      <c r="G60" s="86"/>
      <c r="H60" s="80"/>
      <c r="I60" s="86"/>
      <c r="J60" s="87"/>
      <c r="K60" s="87"/>
      <c r="L60" s="88"/>
      <c r="M60" s="80"/>
      <c r="N60" s="87"/>
      <c r="O60" s="87"/>
      <c r="P60" s="80"/>
      <c r="Q60" s="80"/>
      <c r="R60" s="80"/>
    </row>
    <row r="61" ht="14.25" customHeight="1">
      <c r="B61" s="89"/>
      <c r="C61" s="90"/>
      <c r="D61" s="91"/>
      <c r="E61" s="91"/>
      <c r="F61" s="80"/>
      <c r="G61" s="86"/>
      <c r="H61" s="80"/>
      <c r="I61" s="86"/>
      <c r="J61" s="87"/>
      <c r="K61" s="87"/>
      <c r="L61" s="88"/>
      <c r="M61" s="80"/>
      <c r="N61" s="87"/>
      <c r="O61" s="87"/>
      <c r="P61" s="80"/>
      <c r="Q61" s="80"/>
      <c r="R61" s="80"/>
    </row>
    <row r="62" ht="14.25" customHeight="1">
      <c r="B62" s="89"/>
      <c r="C62" s="90"/>
      <c r="D62" s="91"/>
      <c r="E62" s="91"/>
      <c r="F62" s="80"/>
      <c r="G62" s="86"/>
      <c r="H62" s="80"/>
      <c r="I62" s="86"/>
      <c r="J62" s="87"/>
      <c r="K62" s="87"/>
      <c r="L62" s="88"/>
      <c r="M62" s="80"/>
      <c r="N62" s="87"/>
      <c r="O62" s="87"/>
      <c r="P62" s="80"/>
      <c r="Q62" s="80"/>
      <c r="R62" s="80"/>
    </row>
    <row r="63" ht="14.25" customHeight="1">
      <c r="B63" s="89"/>
      <c r="C63" s="90"/>
      <c r="D63" s="91"/>
      <c r="E63" s="91"/>
      <c r="F63" s="80"/>
      <c r="G63" s="86"/>
      <c r="H63" s="80"/>
      <c r="I63" s="86"/>
      <c r="J63" s="87"/>
      <c r="K63" s="87"/>
      <c r="L63" s="88"/>
      <c r="M63" s="80"/>
      <c r="N63" s="87"/>
      <c r="O63" s="87"/>
      <c r="P63" s="80"/>
      <c r="Q63" s="80"/>
      <c r="R63" s="80"/>
    </row>
    <row r="64" ht="14.25" customHeight="1">
      <c r="B64" s="89"/>
      <c r="C64" s="90"/>
      <c r="D64" s="91"/>
      <c r="E64" s="91"/>
      <c r="F64" s="80"/>
      <c r="G64" s="86"/>
      <c r="H64" s="80"/>
      <c r="I64" s="86"/>
      <c r="J64" s="87"/>
      <c r="K64" s="87"/>
      <c r="L64" s="88"/>
      <c r="M64" s="80"/>
      <c r="N64" s="87"/>
      <c r="O64" s="87"/>
      <c r="P64" s="80"/>
      <c r="Q64" s="80"/>
      <c r="R64" s="80"/>
    </row>
    <row r="65" ht="14.25" customHeight="1">
      <c r="B65" s="89"/>
      <c r="C65" s="90"/>
      <c r="D65" s="91"/>
      <c r="E65" s="91"/>
      <c r="F65" s="80"/>
      <c r="G65" s="86"/>
      <c r="H65" s="80"/>
      <c r="I65" s="86"/>
      <c r="J65" s="87"/>
      <c r="K65" s="87"/>
      <c r="L65" s="88"/>
      <c r="M65" s="80"/>
      <c r="N65" s="87"/>
      <c r="O65" s="87"/>
      <c r="P65" s="80"/>
      <c r="Q65" s="80"/>
      <c r="R65" s="80"/>
    </row>
    <row r="66" ht="14.25" customHeight="1">
      <c r="B66" s="89"/>
      <c r="C66" s="90"/>
      <c r="D66" s="91"/>
      <c r="E66" s="91"/>
      <c r="F66" s="80"/>
      <c r="G66" s="86"/>
      <c r="H66" s="80"/>
      <c r="I66" s="86"/>
      <c r="J66" s="87"/>
      <c r="K66" s="87"/>
      <c r="L66" s="88"/>
      <c r="M66" s="80"/>
      <c r="N66" s="87"/>
      <c r="O66" s="87"/>
      <c r="P66" s="80"/>
      <c r="Q66" s="80"/>
      <c r="R66" s="80"/>
    </row>
  </sheetData>
  <sheetProtection sort="1" autoFilter="0"/>
  <conditionalFormatting sqref="B40:O85">
    <cfRule type="expression" dxfId="0" priority="23" text="null">
      <formula>$B40=3</formula>
    </cfRule>
  </conditionalFormatting>
  <conditionalFormatting sqref="B40:O85">
    <cfRule type="expression" dxfId="1" priority="24" text="null">
      <formula>$B40=4</formula>
    </cfRule>
  </conditionalFormatting>
  <conditionalFormatting sqref="B40:R85">
    <cfRule type="expression" dxfId="2" priority="22" text="null">
      <formula>$B40=2</formula>
    </cfRule>
  </conditionalFormatting>
  <conditionalFormatting sqref="E10">
    <cfRule type="cellIs" dxfId="3" priority="91" operator="greaterThan" text="null">
      <formula>0</formula>
    </cfRule>
  </conditionalFormatting>
  <conditionalFormatting sqref="E10">
    <cfRule type="cellIs" dxfId="4" priority="92" operator="lessThan" text="null">
      <formula>0</formula>
    </cfRule>
  </conditionalFormatting>
  <conditionalFormatting sqref="C38:O38">
    <cfRule type="expression" dxfId="0" priority="110" text="null">
      <formula>$B39=3</formula>
    </cfRule>
  </conditionalFormatting>
  <conditionalFormatting sqref="C38:O38">
    <cfRule type="expression" dxfId="1" priority="111" text="null">
      <formula>$B39=4</formula>
    </cfRule>
  </conditionalFormatting>
  <conditionalFormatting sqref="C38:R38">
    <cfRule type="expression" dxfId="2" priority="105" text="null">
      <formula>$B39=2</formula>
    </cfRule>
  </conditionalFormatting>
  <conditionalFormatting sqref="G10">
    <cfRule type="cellIs" dxfId="3" priority="93" operator="greaterThan" text="null">
      <formula>0</formula>
    </cfRule>
  </conditionalFormatting>
  <conditionalFormatting sqref="G10">
    <cfRule type="cellIs" dxfId="4" priority="94" operator="lessThan" text="null">
      <formula>0</formula>
    </cfRule>
  </conditionalFormatting>
  <conditionalFormatting sqref="G38:G85 I38:I85 L38:L85">
    <cfRule type="cellIs" dxfId="5" priority="4" operator="greaterThan" text="null">
      <formula>0</formula>
    </cfRule>
  </conditionalFormatting>
  <conditionalFormatting sqref="G38:G85 I38:I85 L38:L85">
    <cfRule type="cellIs" dxfId="6" priority="5" operator="lessThan" text="null">
      <formula>0</formula>
    </cfRule>
  </conditionalFormatting>
  <conditionalFormatting sqref="I10">
    <cfRule type="cellIs" dxfId="3" priority="95" operator="greaterThan" text="null">
      <formula>0</formula>
    </cfRule>
  </conditionalFormatting>
  <conditionalFormatting sqref="I10">
    <cfRule type="cellIs" dxfId="4" priority="96" operator="lessThan" text="null">
      <formula>0</formula>
    </cfRule>
  </conditionalFormatting>
  <conditionalFormatting sqref="J38:J56">
    <cfRule type="dataBar" priority="3">
      <dataBar>
        <cfvo type="num" val="0"/>
        <cfvo type="num" val="1"/>
        <color rgb="FFB8CFEC"/>
      </dataBar>
      <extLst>
        <ext xmlns:x14="http://schemas.microsoft.com/office/spreadsheetml/2009/9/main" uri="{B025F937-C7B1-47D3-B67F-A62EFF666E3E}">
          <x14:id>{4d4db7fc-18b9-4011-a339-6eda43bee475}</x14:id>
        </ext>
      </extLst>
    </cfRule>
  </conditionalFormatting>
  <conditionalFormatting sqref="J57:J85">
    <cfRule type="dataBar" priority="15">
      <dataBar>
        <cfvo type="num" val="0"/>
        <cfvo type="num" val="1"/>
        <color rgb="FFB8CFEC"/>
      </dataBar>
      <extLst>
        <ext xmlns:x14="http://schemas.microsoft.com/office/spreadsheetml/2009/9/main" uri="{B025F937-C7B1-47D3-B67F-A62EFF666E3E}">
          <x14:id>{3f0146ae-b426-436f-9257-4b166448333d}</x14:id>
        </ext>
      </extLst>
    </cfRule>
  </conditionalFormatting>
  <conditionalFormatting sqref="K10">
    <cfRule type="cellIs" dxfId="3" priority="97" operator="greaterThan" text="null">
      <formula>0</formula>
    </cfRule>
  </conditionalFormatting>
  <conditionalFormatting sqref="K10">
    <cfRule type="cellIs" dxfId="4" priority="98" operator="lessThan" text="null">
      <formula>0</formula>
    </cfRule>
  </conditionalFormatting>
  <conditionalFormatting sqref="K38:K56">
    <cfRule type="colorScale" priority="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K57:K85">
    <cfRule type="colorScale" priority="13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M10">
    <cfRule type="cellIs" dxfId="4" priority="99" operator="greaterThan" text="null">
      <formula>0</formula>
    </cfRule>
  </conditionalFormatting>
  <conditionalFormatting sqref="M10">
    <cfRule type="cellIs" dxfId="3" priority="100" operator="lessThan" text="null">
      <formula>0</formula>
    </cfRule>
  </conditionalFormatting>
  <conditionalFormatting sqref="N38:N56">
    <cfRule type="colorScale" priority="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conditionalFormatting sqref="N57:N85">
    <cfRule type="colorScale" priority="14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4db7fc-18b9-4011-a339-6eda43bee475}">
            <x14:dataBar minLength="0" maxLength="100" direction="leftToRight">
              <x14:color rgb="FFB8CFEC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J38:J56</xm:sqref>
        </x14:conditionalFormatting>
        <x14:conditionalFormatting xmlns:xm="http://schemas.microsoft.com/office/excel/2006/main">
          <x14:cfRule type="dataBar" id="{3f0146ae-b426-436f-9257-4b166448333d}">
            <x14:dataBar minLength="0" maxLength="100" direction="leftToRight">
              <x14:color rgb="FFB8CFEC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J57:J85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835FB8-B018-C688-50C8-18AACE091C7A}" mc:Ignorable="x14ac xr xr2 xr3">
  <dimension ref="A1:CF83"/>
  <sheetViews>
    <sheetView showGridLines="0" showRowColHeaders="0" topLeftCell="A1" workbookViewId="0">
      <selection activeCell="C7" sqref="C7"/>
    </sheetView>
  </sheetViews>
  <sheetFormatPr defaultRowHeight="14.25" defaultColWidth="9.00390625" customHeight="1"/>
  <cols>
    <col min="1" max="1" width="1.421875" customWidth="1"/>
    <col min="2" max="2" width="2.421875" customWidth="1"/>
    <col min="3" max="3" width="26.00390625" customWidth="1"/>
    <col min="4" max="5" width="11.00390625" customWidth="1"/>
    <col min="6" max="6" width="12.00390625" customWidth="1"/>
    <col min="7" max="8" width="13.00390625" customWidth="1"/>
    <col min="9" max="10" width="15.00390625" customWidth="1"/>
    <col min="11" max="11" width="19.00390625" customWidth="1"/>
    <col min="12" max="13" width="14.00390625" customWidth="1"/>
    <col min="14" max="15" width="12.00390625" customWidth="1"/>
    <col min="16" max="17" width="13.00390625" customWidth="1"/>
    <col min="19" max="19" width="3.00390625" customWidth="1"/>
    <col min="20" max="24" width="15.00390625" customWidth="1"/>
  </cols>
  <sheetData>
    <row r="1" ht="6.75" customHeight="1"/>
    <row r="2" ht="8.25" customHeight="1"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</row>
    <row r="3" ht="8.25" customHeight="1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</row>
    <row r="4" ht="26.25" customHeight="1">
      <c r="B4" s="93"/>
      <c r="C4" s="93"/>
      <c r="D4" s="93" t="s">
        <v>83</v>
      </c>
      <c r="E4" s="94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</row>
    <row r="5" ht="15" customHeight="1" s="95" customFormat="1">
      <c r="B5" s="96"/>
      <c r="C5" s="96"/>
      <c r="D5" s="96" t="s">
        <v>84</v>
      </c>
      <c r="E5" s="97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</row>
    <row r="6" ht="9.75" customHeight="1"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</row>
    <row r="7" ht="24" customHeight="1">
      <c r="B7" s="99"/>
      <c r="C7" s="100" t="str">
        <f>"L'EBITDA passe de "&amp;TEXT(D13,"#,##0 €")&amp;" à "&amp;TEXT(D19,"#,##0 €")&amp;", soit "&amp;TEXT(D19-D13,"+#,##0 €;-#,##0 €")&amp;"  ("&amp;TEXT(D19/D13-1,"+0.0%;-0.0%")&amp;")"</f>
        <v>L'EBITDA passe de 3.467.793 € à 3.845.817 €, soit +378.024 €  (+10,9%)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</row>
    <row r="8" ht="14.25" customHeight="1">
      <c r="B8" s="99"/>
      <c r="C8" s="101" t="s">
        <v>86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</row>
    <row r="9" ht="8.25" customHeight="1"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</row>
    <row r="10" ht="15" customHeight="1"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</row>
    <row r="11" ht="15" customHeight="1">
      <c r="B11" s="99"/>
      <c r="C11" s="102" t="s">
        <v>87</v>
      </c>
      <c r="D11" s="99"/>
      <c r="E11" s="103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</row>
    <row r="12" ht="22.5" customHeight="1">
      <c r="B12" s="99"/>
      <c r="C12" s="104" t="s">
        <v>88</v>
      </c>
      <c r="D12" s="105" t="s">
        <v>89</v>
      </c>
      <c r="E12" s="105" t="s">
        <v>90</v>
      </c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</row>
    <row r="13" ht="15" customHeight="1">
      <c r="B13" s="99"/>
      <c r="C13" s="106" t="s">
        <v>23</v>
      </c>
      <c r="D13" s="107">
        <f>P44</f>
        <v>3467793.288627</v>
      </c>
      <c r="E13" s="108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</row>
    <row r="14" ht="15" customHeight="1">
      <c r="B14" s="99"/>
      <c r="C14" s="109" t="s">
        <v>91</v>
      </c>
      <c r="D14" s="110">
        <f>T44</f>
        <v>1157203.254104</v>
      </c>
      <c r="E14" s="111">
        <f>IF(D14&gt;0,IF(SUMIF($D$14:$D$18,"&gt;0")=0,"",D14/SUMIF($D$14:$D$18,"&gt;0")),IF(SUMIF($D$14:$D$18,"&lt;0")=0,"",D14/SUMIF($D$14:$D$18,"&lt;0")))</f>
        <v>0.982489746714699</v>
      </c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</row>
    <row r="15" ht="15" customHeight="1">
      <c r="B15" s="99"/>
      <c r="C15" s="109" t="s">
        <v>92</v>
      </c>
      <c r="D15" s="110">
        <f>U44</f>
        <v>-606.989222000767</v>
      </c>
      <c r="E15" s="111">
        <f>IF(D15&gt;0,IF(SUMIF($D$14:$D$18,"&gt;0")=0,"",D15/SUMIF($D$14:$D$18,"&gt;0")),IF(SUMIF($D$14:$D$18,"&lt;0")=0,"",D15/SUMIF($D$14:$D$18,"&lt;0")))</f>
        <v>0.000758922757078435</v>
      </c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</row>
    <row r="16" ht="15" customHeight="1">
      <c r="B16" s="99"/>
      <c r="C16" s="109" t="s">
        <v>93</v>
      </c>
      <c r="D16" s="110">
        <f>V44</f>
        <v>20624.0545</v>
      </c>
      <c r="E16" s="111">
        <f>IF(D16&gt;0,IF(SUMIF($D$14:$D$18,"&gt;0")=0,"",D16/SUMIF($D$14:$D$18,"&gt;0")),IF(SUMIF($D$14:$D$18,"&lt;0")=0,"",D16/SUMIF($D$14:$D$18,"&lt;0")))</f>
        <v>0.0175102532853006</v>
      </c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</row>
    <row r="17" ht="15" customHeight="1">
      <c r="B17" s="99"/>
      <c r="C17" s="109" t="s">
        <v>94</v>
      </c>
      <c r="D17" s="110">
        <f>W44</f>
        <v>-571269.616192</v>
      </c>
      <c r="E17" s="111">
        <f>IF(D17&gt;0,IF(SUMIF($D$14:$D$18,"&gt;0")=0,"",D17/SUMIF($D$14:$D$18,"&gt;0")),IF(SUMIF($D$14:$D$18,"&lt;0")=0,"",D17/SUMIF($D$14:$D$18,"&lt;0")))</f>
        <v>0.714262290731456</v>
      </c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</row>
    <row r="18" ht="15" customHeight="1">
      <c r="B18" s="99"/>
      <c r="C18" s="109" t="s">
        <v>95</v>
      </c>
      <c r="D18" s="110">
        <f>X44</f>
        <v>-227927.085198</v>
      </c>
      <c r="E18" s="111">
        <f>IF(D18&gt;0,IF(SUMIF($D$14:$D$18,"&gt;0")=0,"",D18/SUMIF($D$14:$D$18,"&gt;0")),IF(SUMIF($D$14:$D$18,"&lt;0")=0,"",D18/SUMIF($D$14:$D$18,"&lt;0")))</f>
        <v>0.284978786511466</v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</row>
    <row r="19" ht="15" customHeight="1">
      <c r="B19" s="99"/>
      <c r="C19" s="106" t="s">
        <v>40</v>
      </c>
      <c r="D19" s="107">
        <f>Q44</f>
        <v>3845816.907756</v>
      </c>
      <c r="E19" s="108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</row>
    <row r="20" ht="15" customHeight="1">
      <c r="B20" s="99"/>
      <c r="C20" s="112" t="s">
        <v>96</v>
      </c>
      <c r="D20" s="113">
        <f>SUMIF($D$14:$D$18,"&gt;0")</f>
        <v>1177827.308604</v>
      </c>
      <c r="E20" s="114">
        <f>SUMIF(D14:D18,"&lt;0")</f>
        <v>-799803.690612001</v>
      </c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</row>
    <row r="2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</row>
    <row r="22" ht="15" customHeight="1">
      <c r="B22" s="99"/>
      <c r="C22" s="115" t="s">
        <v>97</v>
      </c>
      <c r="D22" s="116">
        <f>SUM(D14:D18)-(D19-D13)</f>
        <v>-0.00113700039219111</v>
      </c>
      <c r="E22" s="117" t="s">
        <v>98</v>
      </c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</row>
    <row r="23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</row>
    <row r="24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99"/>
    </row>
    <row r="25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</row>
    <row r="26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</row>
    <row r="27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</row>
    <row r="28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</row>
    <row r="29" ht="14.2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</row>
    <row r="30" ht="20.25" customHeight="1" hidden="1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</row>
    <row r="31" ht="14.25" customHeight="1" hidden="1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 t="s">
        <v>23</v>
      </c>
      <c r="AA31" s="99">
        <v>0</v>
      </c>
      <c r="AB31" s="99">
        <f t="shared" si="2" ref="AB31:AB37">D13</f>
        <v>3467793.288627</v>
      </c>
      <c r="AC31" s="99">
        <v>0</v>
      </c>
      <c r="AD31" s="99">
        <v>0</v>
      </c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</row>
    <row r="32" ht="14.25" customHeight="1" hidden="1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 t="s">
        <v>91</v>
      </c>
      <c r="AA32" s="99">
        <f>MIN(D13,D13+SUM(D14:D14))</f>
        <v>3467793.288627</v>
      </c>
      <c r="AB32" s="99">
        <v>0</v>
      </c>
      <c r="AC32" s="99">
        <f t="shared" si="0" ref="AC32:AC36">MAX(D14,0)</f>
        <v>1157203.254104</v>
      </c>
      <c r="AD32" s="99">
        <f t="shared" si="1" ref="AD32:AD36">MAX(-D14,0)</f>
        <v>0</v>
      </c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</row>
    <row r="33" ht="14.25" customHeight="1" hidden="1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 t="s">
        <v>92</v>
      </c>
      <c r="AA33" s="99">
        <f>MIN(D13+SUM(D14:D14),D13+SUM(D14:D15))</f>
        <v>4624389.553509</v>
      </c>
      <c r="AB33" s="99">
        <v>0</v>
      </c>
      <c r="AC33" s="99">
        <f t="shared" si="0"/>
        <v>0</v>
      </c>
      <c r="AD33" s="99">
        <f t="shared" si="1"/>
        <v>606.989222000767</v>
      </c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</row>
    <row r="34" ht="14.25" customHeight="1" hidden="1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 t="s">
        <v>93</v>
      </c>
      <c r="AA34" s="99">
        <f>MIN(D13+SUM(D14:D15),D13+SUM(D14:D16))</f>
        <v>4624389.553509</v>
      </c>
      <c r="AB34" s="99">
        <v>0</v>
      </c>
      <c r="AC34" s="99">
        <f t="shared" si="0"/>
        <v>20624.0545</v>
      </c>
      <c r="AD34" s="99">
        <f t="shared" si="1"/>
        <v>0</v>
      </c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</row>
    <row r="35" ht="14.25" customHeight="1" hidden="1"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 t="s">
        <v>94</v>
      </c>
      <c r="AA35" s="99">
        <f>MIN(D13+SUM(D14:D16),D13+SUM(D14:D17))</f>
        <v>4073743.991817</v>
      </c>
      <c r="AB35" s="99">
        <v>0</v>
      </c>
      <c r="AC35" s="99">
        <f t="shared" si="0"/>
        <v>0</v>
      </c>
      <c r="AD35" s="99">
        <f t="shared" si="1"/>
        <v>571269.616192</v>
      </c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</row>
    <row r="36" ht="14.25" customHeight="1" hidden="1"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 t="s">
        <v>95</v>
      </c>
      <c r="AA36" s="99">
        <f>MIN(D13+SUM(D14:D17),D13+SUM(D14:D18))</f>
        <v>3845816.906619</v>
      </c>
      <c r="AB36" s="99">
        <v>0</v>
      </c>
      <c r="AC36" s="99">
        <f t="shared" si="0"/>
        <v>0</v>
      </c>
      <c r="AD36" s="99">
        <f t="shared" si="1"/>
        <v>227927.085198</v>
      </c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</row>
    <row r="37" ht="14.25" customHeight="1" hidden="1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 t="s">
        <v>40</v>
      </c>
      <c r="AA37" s="99">
        <v>0</v>
      </c>
      <c r="AB37" s="99">
        <f t="shared" si="2"/>
        <v>3845816.907756</v>
      </c>
      <c r="AC37" s="99">
        <v>0</v>
      </c>
      <c r="AD37" s="99">
        <v>0</v>
      </c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99"/>
    </row>
    <row r="38" ht="14.25" customHeight="1" hidden="1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</row>
    <row r="39" ht="14.25" customHeight="1" hidden="1"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99"/>
    </row>
    <row r="40" ht="14.25" customHeight="1"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99"/>
      <c r="BT40" s="99"/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99"/>
    </row>
    <row r="41" ht="14.25" customHeight="1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99"/>
    </row>
    <row r="42" ht="14.25" customHeight="1">
      <c r="B42" s="99"/>
      <c r="C42" s="102" t="s">
        <v>99</v>
      </c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103"/>
      <c r="R42" s="99"/>
      <c r="S42" s="99"/>
      <c r="T42" s="102" t="s">
        <v>100</v>
      </c>
      <c r="U42" s="99"/>
      <c r="V42" s="99"/>
      <c r="W42" s="99"/>
      <c r="X42" s="103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99"/>
    </row>
    <row r="43" ht="20.25" customHeight="1">
      <c r="B43" s="99"/>
      <c r="C43" s="104" t="s">
        <v>101</v>
      </c>
      <c r="D43" s="105" t="s">
        <v>102</v>
      </c>
      <c r="E43" s="105" t="s">
        <v>103</v>
      </c>
      <c r="F43" s="105" t="s">
        <v>104</v>
      </c>
      <c r="G43" s="105" t="s">
        <v>105</v>
      </c>
      <c r="H43" s="105" t="s">
        <v>106</v>
      </c>
      <c r="I43" s="105" t="s">
        <v>107</v>
      </c>
      <c r="J43" s="105" t="s">
        <v>108</v>
      </c>
      <c r="K43" s="105" t="s">
        <v>109</v>
      </c>
      <c r="L43" s="105" t="s">
        <v>110</v>
      </c>
      <c r="M43" s="105" t="s">
        <v>111</v>
      </c>
      <c r="N43" s="105" t="s">
        <v>112</v>
      </c>
      <c r="O43" s="105" t="s">
        <v>113</v>
      </c>
      <c r="P43" s="105" t="s">
        <v>23</v>
      </c>
      <c r="Q43" s="105" t="s">
        <v>40</v>
      </c>
      <c r="R43" s="99"/>
      <c r="S43" s="99"/>
      <c r="T43" s="104" t="s">
        <v>91</v>
      </c>
      <c r="U43" s="105" t="s">
        <v>92</v>
      </c>
      <c r="V43" s="105" t="s">
        <v>93</v>
      </c>
      <c r="W43" s="105" t="s">
        <v>94</v>
      </c>
      <c r="X43" s="105" t="s">
        <v>95</v>
      </c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99"/>
    </row>
    <row r="44" ht="14.25" customHeight="1">
      <c r="B44" s="99"/>
      <c r="C44" s="118" t="s">
        <v>114</v>
      </c>
      <c r="D44" s="119">
        <f t="shared" si="3" ref="D44:X44">SUM(D45:D74)</f>
        <v>2933</v>
      </c>
      <c r="E44" s="119">
        <f t="shared" si="3"/>
        <v>3114</v>
      </c>
      <c r="F44" s="119">
        <f t="shared" si="3"/>
        <v>181</v>
      </c>
      <c r="G44" s="120" t="s">
        <v>115</v>
      </c>
      <c r="H44" s="121"/>
      <c r="I44" s="121"/>
      <c r="J44" s="121"/>
      <c r="K44" s="121"/>
      <c r="L44" s="119">
        <f t="shared" si="3"/>
        <v>11968180.871534</v>
      </c>
      <c r="M44" s="119">
        <f t="shared" si="3"/>
        <v>12539450.487726</v>
      </c>
      <c r="N44" s="119">
        <f t="shared" si="3"/>
        <v>3340384.366223</v>
      </c>
      <c r="O44" s="119">
        <f t="shared" si="3"/>
        <v>3568311.451421</v>
      </c>
      <c r="P44" s="119">
        <f t="shared" si="3"/>
        <v>3467793.288627</v>
      </c>
      <c r="Q44" s="119">
        <f t="shared" si="3"/>
        <v>3845816.907756</v>
      </c>
      <c r="R44" s="99"/>
      <c r="S44" s="99"/>
      <c r="T44" s="119">
        <f t="shared" si="3"/>
        <v>1157203.254104</v>
      </c>
      <c r="U44" s="119">
        <f t="shared" si="3"/>
        <v>-606.989222000767</v>
      </c>
      <c r="V44" s="119">
        <f t="shared" si="3"/>
        <v>20624.0545</v>
      </c>
      <c r="W44" s="119">
        <f t="shared" si="3"/>
        <v>-571269.616192</v>
      </c>
      <c r="X44" s="119">
        <f t="shared" si="3"/>
        <v>-227927.085198</v>
      </c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</row>
    <row r="45" ht="15.75" customHeight="1">
      <c r="B45" s="99"/>
      <c r="C45" s="122" t="s">
        <v>69</v>
      </c>
      <c r="D45" s="123">
        <v>111</v>
      </c>
      <c r="E45" s="123">
        <v>117</v>
      </c>
      <c r="F45" s="123">
        <v>6</v>
      </c>
      <c r="G45" s="124">
        <v>6680.81081</v>
      </c>
      <c r="H45" s="124">
        <v>6680.76923</v>
      </c>
      <c r="I45" s="124">
        <v>1121.503507</v>
      </c>
      <c r="J45" s="124">
        <v>1120.947726</v>
      </c>
      <c r="K45" s="124">
        <v>5559.307303</v>
      </c>
      <c r="L45" s="123">
        <v>398825.611176</v>
      </c>
      <c r="M45" s="123">
        <v>410604.839394</v>
      </c>
      <c r="N45" s="123">
        <v>124627.443759</v>
      </c>
      <c r="O45" s="123">
        <v>132003.658803</v>
      </c>
      <c r="P45" s="123">
        <v>93630.055754</v>
      </c>
      <c r="Q45" s="123">
        <v>107890.617776</v>
      </c>
      <c r="R45" s="99"/>
      <c r="S45" s="99"/>
      <c r="T45" s="123">
        <f t="shared" si="4" ref="T45:T58">IF(OR(F45="",K45=""),"",F45*K45)</f>
        <v>33355.843818</v>
      </c>
      <c r="U45" s="123">
        <f t="shared" si="5" ref="U45:U58">IF(OR(H45="",G45="",E45=""),"",(H45-G45)*E45)</f>
        <v>-4.86486000000787</v>
      </c>
      <c r="V45" s="123">
        <f t="shared" si="6" ref="V45:V58">IF(OR(J45="",I45="",E45=""),"",-(J45-I45)*E45)</f>
        <v>65.0263769999763</v>
      </c>
      <c r="W45" s="123">
        <f t="shared" si="7" ref="W45:W58">IF(OR(M45="",L45=""),"",-(M45-L45))</f>
        <v>-11779.228218</v>
      </c>
      <c r="X45" s="123">
        <f t="shared" si="8" ref="X45:X58">IF(OR(O45="",N45=""),"",-(O45-N45))</f>
        <v>-7376.215044</v>
      </c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99"/>
    </row>
    <row r="46" ht="15.75" customHeight="1">
      <c r="B46" s="99"/>
      <c r="C46" s="122" t="s">
        <v>70</v>
      </c>
      <c r="D46" s="123">
        <v>136</v>
      </c>
      <c r="E46" s="123">
        <v>145</v>
      </c>
      <c r="F46" s="123">
        <v>9</v>
      </c>
      <c r="G46" s="124">
        <v>7031.102941</v>
      </c>
      <c r="H46" s="124">
        <v>7031.034482</v>
      </c>
      <c r="I46" s="124">
        <v>1032.454995</v>
      </c>
      <c r="J46" s="124">
        <v>1021.736687</v>
      </c>
      <c r="K46" s="124">
        <v>5998.647946</v>
      </c>
      <c r="L46" s="123">
        <v>533738.146263</v>
      </c>
      <c r="M46" s="123">
        <v>557855.642145</v>
      </c>
      <c r="N46" s="123">
        <v>152697.006516</v>
      </c>
      <c r="O46" s="123">
        <v>163594.022172</v>
      </c>
      <c r="P46" s="123">
        <v>129380.967853</v>
      </c>
      <c r="Q46" s="123">
        <v>149898.516029</v>
      </c>
      <c r="R46" s="99"/>
      <c r="S46" s="99"/>
      <c r="T46" s="123">
        <f t="shared" si="4"/>
        <v>53987.831514</v>
      </c>
      <c r="U46" s="123">
        <f t="shared" si="5"/>
        <v>-9.92655500001092</v>
      </c>
      <c r="V46" s="123">
        <f t="shared" si="6"/>
        <v>1554.15466000001</v>
      </c>
      <c r="W46" s="123">
        <f t="shared" si="7"/>
        <v>-24117.4958820001</v>
      </c>
      <c r="X46" s="123">
        <f t="shared" si="8"/>
        <v>-10897.015656</v>
      </c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</row>
    <row r="47" ht="15.75" customHeight="1">
      <c r="B47" s="99"/>
      <c r="C47" s="122" t="s">
        <v>71</v>
      </c>
      <c r="D47" s="123">
        <v>111</v>
      </c>
      <c r="E47" s="123">
        <v>117</v>
      </c>
      <c r="F47" s="123">
        <v>6</v>
      </c>
      <c r="G47" s="124">
        <v>6680.81081</v>
      </c>
      <c r="H47" s="124">
        <v>6680.76923</v>
      </c>
      <c r="I47" s="124">
        <v>1119.494498</v>
      </c>
      <c r="J47" s="124">
        <v>1118.853709</v>
      </c>
      <c r="K47" s="124">
        <v>5561.316312</v>
      </c>
      <c r="L47" s="123">
        <v>399048.630951</v>
      </c>
      <c r="M47" s="123">
        <v>410849.839149</v>
      </c>
      <c r="N47" s="123">
        <v>124627.443759</v>
      </c>
      <c r="O47" s="123">
        <v>132003.658803</v>
      </c>
      <c r="P47" s="123">
        <v>93630.035979</v>
      </c>
      <c r="Q47" s="123">
        <v>107890.618021</v>
      </c>
      <c r="R47" s="99"/>
      <c r="S47" s="99"/>
      <c r="T47" s="123">
        <f t="shared" si="4"/>
        <v>33367.897872</v>
      </c>
      <c r="U47" s="123">
        <f t="shared" si="5"/>
        <v>-4.86486000000787</v>
      </c>
      <c r="V47" s="123">
        <f t="shared" si="6"/>
        <v>74.9723130000048</v>
      </c>
      <c r="W47" s="123">
        <f t="shared" si="7"/>
        <v>-11801.208198</v>
      </c>
      <c r="X47" s="123">
        <f t="shared" si="8"/>
        <v>-7376.215044</v>
      </c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99"/>
    </row>
    <row r="48" ht="15.75" customHeight="1">
      <c r="B48" s="99"/>
      <c r="C48" s="122" t="s">
        <v>72</v>
      </c>
      <c r="D48" s="123">
        <v>229</v>
      </c>
      <c r="E48" s="123">
        <v>244</v>
      </c>
      <c r="F48" s="123">
        <v>15</v>
      </c>
      <c r="G48" s="124">
        <v>7196.50655</v>
      </c>
      <c r="H48" s="124">
        <v>7196.106557</v>
      </c>
      <c r="I48" s="124">
        <v>981.706666</v>
      </c>
      <c r="J48" s="124">
        <v>970.245157</v>
      </c>
      <c r="K48" s="124">
        <v>6214.799884</v>
      </c>
      <c r="L48" s="123">
        <v>901529.53</v>
      </c>
      <c r="M48" s="123">
        <v>948506.29</v>
      </c>
      <c r="N48" s="123">
        <v>261871.31984</v>
      </c>
      <c r="O48" s="123">
        <v>280832.60468</v>
      </c>
      <c r="P48" s="123">
        <v>259788.32347</v>
      </c>
      <c r="Q48" s="123">
        <v>289771.286902</v>
      </c>
      <c r="R48" s="99"/>
      <c r="S48" s="99"/>
      <c r="T48" s="123">
        <f t="shared" si="4"/>
        <v>93221.99826</v>
      </c>
      <c r="U48" s="123">
        <f t="shared" si="5"/>
        <v>-97.5982919999988</v>
      </c>
      <c r="V48" s="123">
        <f t="shared" si="6"/>
        <v>2796.60819600002</v>
      </c>
      <c r="W48" s="123">
        <f t="shared" si="7"/>
        <v>-46976.76</v>
      </c>
      <c r="X48" s="123">
        <f t="shared" si="8"/>
        <v>-18961.28484</v>
      </c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</row>
    <row r="49" ht="15.75" customHeight="1">
      <c r="B49" s="99"/>
      <c r="C49" s="122" t="s">
        <v>73</v>
      </c>
      <c r="D49" s="123">
        <v>334</v>
      </c>
      <c r="E49" s="123">
        <v>354</v>
      </c>
      <c r="F49" s="123">
        <v>20</v>
      </c>
      <c r="G49" s="124">
        <v>8217.005988</v>
      </c>
      <c r="H49" s="124">
        <v>8216.723163</v>
      </c>
      <c r="I49" s="124">
        <v>1059.387715</v>
      </c>
      <c r="J49" s="124">
        <v>1055.411313</v>
      </c>
      <c r="K49" s="124">
        <v>7157.618273</v>
      </c>
      <c r="L49" s="123">
        <v>1532006.33</v>
      </c>
      <c r="M49" s="123">
        <v>1601085.78</v>
      </c>
      <c r="N49" s="123">
        <v>381943.40797</v>
      </c>
      <c r="O49" s="123">
        <v>407437.70207</v>
      </c>
      <c r="P49" s="123">
        <v>476694.76491</v>
      </c>
      <c r="Q49" s="123">
        <v>526580.913096</v>
      </c>
      <c r="R49" s="99"/>
      <c r="S49" s="99"/>
      <c r="T49" s="123">
        <f t="shared" si="4"/>
        <v>143152.36546</v>
      </c>
      <c r="U49" s="123">
        <f t="shared" si="5"/>
        <v>-100.120050000081</v>
      </c>
      <c r="V49" s="123">
        <f t="shared" si="6"/>
        <v>1407.646308</v>
      </c>
      <c r="W49" s="123">
        <f t="shared" si="7"/>
        <v>-69079.45</v>
      </c>
      <c r="X49" s="123">
        <f t="shared" si="8"/>
        <v>-25494.2941</v>
      </c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</row>
    <row r="50" ht="15.75" customHeight="1">
      <c r="B50" s="99"/>
      <c r="C50" s="122" t="s">
        <v>74</v>
      </c>
      <c r="D50" s="123">
        <v>216</v>
      </c>
      <c r="E50" s="123">
        <v>231</v>
      </c>
      <c r="F50" s="123">
        <v>15</v>
      </c>
      <c r="G50" s="124">
        <v>7047.777777</v>
      </c>
      <c r="H50" s="124">
        <v>7047.532467</v>
      </c>
      <c r="I50" s="124">
        <v>1006.216832</v>
      </c>
      <c r="J50" s="124">
        <v>990.328632</v>
      </c>
      <c r="K50" s="124">
        <v>6041.560945</v>
      </c>
      <c r="L50" s="123">
        <v>822578.02</v>
      </c>
      <c r="M50" s="123">
        <v>869560.28</v>
      </c>
      <c r="N50" s="123">
        <v>247005.285725</v>
      </c>
      <c r="O50" s="123">
        <v>265869.75038</v>
      </c>
      <c r="P50" s="123">
        <v>235393.858351</v>
      </c>
      <c r="Q50" s="123">
        <v>263784.055574</v>
      </c>
      <c r="R50" s="99"/>
      <c r="S50" s="99"/>
      <c r="T50" s="123">
        <f t="shared" si="4"/>
        <v>90623.414175</v>
      </c>
      <c r="U50" s="123">
        <f t="shared" si="5"/>
        <v>-56.6666100000566</v>
      </c>
      <c r="V50" s="123">
        <f t="shared" si="6"/>
        <v>3670.1742</v>
      </c>
      <c r="W50" s="123">
        <f t="shared" si="7"/>
        <v>-46982.26</v>
      </c>
      <c r="X50" s="123">
        <f t="shared" si="8"/>
        <v>-18864.464655</v>
      </c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</row>
    <row r="51" ht="15.75" customHeight="1">
      <c r="B51" s="99"/>
      <c r="C51" s="122" t="s">
        <v>75</v>
      </c>
      <c r="D51" s="123">
        <v>234</v>
      </c>
      <c r="E51" s="123">
        <v>249</v>
      </c>
      <c r="F51" s="123">
        <v>15</v>
      </c>
      <c r="G51" s="124">
        <v>7123.311965</v>
      </c>
      <c r="H51" s="124">
        <v>7122.931726</v>
      </c>
      <c r="I51" s="124">
        <v>967.161637</v>
      </c>
      <c r="J51" s="124">
        <v>957.043804</v>
      </c>
      <c r="K51" s="124">
        <v>6156.150328</v>
      </c>
      <c r="L51" s="123">
        <v>901334.78</v>
      </c>
      <c r="M51" s="123">
        <v>943075.91</v>
      </c>
      <c r="N51" s="123">
        <v>268015.12145</v>
      </c>
      <c r="O51" s="123">
        <v>287093.96609</v>
      </c>
      <c r="P51" s="123">
        <v>271189.27541</v>
      </c>
      <c r="Q51" s="123">
        <v>305136.216562</v>
      </c>
      <c r="R51" s="99"/>
      <c r="S51" s="99"/>
      <c r="T51" s="123">
        <f t="shared" si="4"/>
        <v>92342.25492</v>
      </c>
      <c r="U51" s="123">
        <f t="shared" si="5"/>
        <v>-94.6795110000185</v>
      </c>
      <c r="V51" s="123">
        <f t="shared" si="6"/>
        <v>2519.340417</v>
      </c>
      <c r="W51" s="123">
        <f t="shared" si="7"/>
        <v>-41741.13</v>
      </c>
      <c r="X51" s="123">
        <f t="shared" si="8"/>
        <v>-19078.84464</v>
      </c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99"/>
    </row>
    <row r="52" ht="15.75" customHeight="1">
      <c r="B52" s="99"/>
      <c r="C52" s="122" t="s">
        <v>76</v>
      </c>
      <c r="D52" s="123">
        <v>304</v>
      </c>
      <c r="E52" s="123">
        <v>324</v>
      </c>
      <c r="F52" s="123">
        <v>20</v>
      </c>
      <c r="G52" s="124">
        <v>7706.200657</v>
      </c>
      <c r="H52" s="124">
        <v>7705.879629</v>
      </c>
      <c r="I52" s="124">
        <v>996.215476</v>
      </c>
      <c r="J52" s="124">
        <v>985.461362</v>
      </c>
      <c r="K52" s="124">
        <v>6709.985181</v>
      </c>
      <c r="L52" s="123">
        <v>1284679.745319</v>
      </c>
      <c r="M52" s="123">
        <v>1346871.013129</v>
      </c>
      <c r="N52" s="123">
        <v>348189.879151</v>
      </c>
      <c r="O52" s="123">
        <v>373567.834843</v>
      </c>
      <c r="P52" s="123">
        <v>406965.870529</v>
      </c>
      <c r="Q52" s="123">
        <v>456976.670653</v>
      </c>
      <c r="R52" s="99"/>
      <c r="S52" s="99"/>
      <c r="T52" s="123">
        <f t="shared" si="4"/>
        <v>134199.70362</v>
      </c>
      <c r="U52" s="123">
        <f t="shared" si="5"/>
        <v>-104.013072000096</v>
      </c>
      <c r="V52" s="123">
        <f t="shared" si="6"/>
        <v>3484.33293599999</v>
      </c>
      <c r="W52" s="123">
        <f t="shared" si="7"/>
        <v>-62191.2678100001</v>
      </c>
      <c r="X52" s="123">
        <f t="shared" si="8"/>
        <v>-25377.955692</v>
      </c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</row>
    <row r="53" ht="15.75" customHeight="1">
      <c r="B53" s="99"/>
      <c r="C53" s="122" t="s">
        <v>77</v>
      </c>
      <c r="D53" s="123">
        <v>279</v>
      </c>
      <c r="E53" s="123">
        <v>294</v>
      </c>
      <c r="F53" s="123">
        <v>15</v>
      </c>
      <c r="G53" s="124">
        <v>7341.433691</v>
      </c>
      <c r="H53" s="124">
        <v>7341.156462</v>
      </c>
      <c r="I53" s="124">
        <v>972.589162</v>
      </c>
      <c r="J53" s="124">
        <v>972.119854</v>
      </c>
      <c r="K53" s="124">
        <v>6368.844529</v>
      </c>
      <c r="L53" s="123">
        <v>1111775.963414</v>
      </c>
      <c r="M53" s="123">
        <v>1149243.887257</v>
      </c>
      <c r="N53" s="123">
        <v>319556.007664</v>
      </c>
      <c r="O53" s="123">
        <v>338978.121546</v>
      </c>
      <c r="P53" s="123">
        <v>345575.652571</v>
      </c>
      <c r="Q53" s="123">
        <v>384274.75401</v>
      </c>
      <c r="R53" s="99"/>
      <c r="S53" s="99"/>
      <c r="T53" s="123">
        <f t="shared" si="4"/>
        <v>95532.667935</v>
      </c>
      <c r="U53" s="123">
        <f t="shared" si="5"/>
        <v>-81.5053260000768</v>
      </c>
      <c r="V53" s="123">
        <f t="shared" si="6"/>
        <v>137.976551999987</v>
      </c>
      <c r="W53" s="123">
        <f t="shared" si="7"/>
        <v>-37467.9238429999</v>
      </c>
      <c r="X53" s="123">
        <f t="shared" si="8"/>
        <v>-19422.113882</v>
      </c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</row>
    <row r="54" ht="15.75" customHeight="1">
      <c r="B54" s="99"/>
      <c r="C54" s="122" t="s">
        <v>78</v>
      </c>
      <c r="D54" s="123">
        <v>362</v>
      </c>
      <c r="E54" s="123">
        <v>382</v>
      </c>
      <c r="F54" s="123">
        <v>20</v>
      </c>
      <c r="G54" s="124">
        <v>8217.127071</v>
      </c>
      <c r="H54" s="124">
        <v>8216.858638</v>
      </c>
      <c r="I54" s="124">
        <v>1023.731294</v>
      </c>
      <c r="J54" s="124">
        <v>1024.933438</v>
      </c>
      <c r="K54" s="124">
        <v>7193.395777</v>
      </c>
      <c r="L54" s="123">
        <v>1648776.64</v>
      </c>
      <c r="M54" s="123">
        <v>1707251.49</v>
      </c>
      <c r="N54" s="123">
        <v>414621.106525</v>
      </c>
      <c r="O54" s="123">
        <v>440441.44967</v>
      </c>
      <c r="P54" s="123">
        <v>540611.524805</v>
      </c>
      <c r="Q54" s="123">
        <v>599622.48675</v>
      </c>
      <c r="R54" s="99"/>
      <c r="S54" s="99"/>
      <c r="T54" s="123">
        <f t="shared" si="4"/>
        <v>143867.91554</v>
      </c>
      <c r="U54" s="123">
        <f t="shared" si="5"/>
        <v>-102.541406000419</v>
      </c>
      <c r="V54" s="123">
        <f t="shared" si="6"/>
        <v>-459.219007999991</v>
      </c>
      <c r="W54" s="123">
        <f t="shared" si="7"/>
        <v>-58474.8500000001</v>
      </c>
      <c r="X54" s="123">
        <f t="shared" si="8"/>
        <v>-25820.343145</v>
      </c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</row>
    <row r="55" ht="15.75" customHeight="1">
      <c r="B55" s="99"/>
      <c r="C55" s="122" t="s">
        <v>79</v>
      </c>
      <c r="D55" s="123">
        <v>166</v>
      </c>
      <c r="E55" s="123">
        <v>176</v>
      </c>
      <c r="F55" s="123">
        <v>10</v>
      </c>
      <c r="G55" s="124">
        <v>6435.361445</v>
      </c>
      <c r="H55" s="124">
        <v>6435.511363</v>
      </c>
      <c r="I55" s="124">
        <v>979.420272</v>
      </c>
      <c r="J55" s="124">
        <v>973.799138</v>
      </c>
      <c r="K55" s="124">
        <v>5455.941173</v>
      </c>
      <c r="L55" s="123">
        <v>508701.219754</v>
      </c>
      <c r="M55" s="123">
        <v>530872.394487</v>
      </c>
      <c r="N55" s="123">
        <v>186013.80835</v>
      </c>
      <c r="O55" s="123">
        <v>198145.59404</v>
      </c>
      <c r="P55" s="123">
        <v>210971.206692</v>
      </c>
      <c r="Q55" s="123">
        <v>232243.363153</v>
      </c>
      <c r="R55" s="99"/>
      <c r="S55" s="99"/>
      <c r="T55" s="123">
        <f t="shared" si="4"/>
        <v>54559.41173</v>
      </c>
      <c r="U55" s="123">
        <f t="shared" si="5"/>
        <v>26.3855680000124</v>
      </c>
      <c r="V55" s="123">
        <f t="shared" si="6"/>
        <v>989.319583999997</v>
      </c>
      <c r="W55" s="123">
        <f t="shared" si="7"/>
        <v>-22171.1747329999</v>
      </c>
      <c r="X55" s="123">
        <f t="shared" si="8"/>
        <v>-12131.78569</v>
      </c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99"/>
      <c r="BR55" s="99"/>
      <c r="BS55" s="99"/>
      <c r="BT55" s="99"/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99"/>
    </row>
    <row r="56" ht="15.75" customHeight="1">
      <c r="B56" s="99"/>
      <c r="C56" s="122" t="s">
        <v>80</v>
      </c>
      <c r="D56" s="123">
        <v>211</v>
      </c>
      <c r="E56" s="123">
        <v>226</v>
      </c>
      <c r="F56" s="123">
        <v>15</v>
      </c>
      <c r="G56" s="124">
        <v>6963.696682</v>
      </c>
      <c r="H56" s="124">
        <v>6963.849557</v>
      </c>
      <c r="I56" s="124">
        <v>900.960598</v>
      </c>
      <c r="J56" s="124">
        <v>889.01182</v>
      </c>
      <c r="K56" s="124">
        <v>6062.736084</v>
      </c>
      <c r="L56" s="123">
        <v>736369.103476</v>
      </c>
      <c r="M56" s="123">
        <v>778456.427384</v>
      </c>
      <c r="N56" s="123">
        <v>236439.10599</v>
      </c>
      <c r="O56" s="123">
        <v>254437.48057</v>
      </c>
      <c r="P56" s="123">
        <v>306429.104172</v>
      </c>
      <c r="Q56" s="123">
        <v>340019.420656</v>
      </c>
      <c r="R56" s="99"/>
      <c r="S56" s="99"/>
      <c r="T56" s="123">
        <f t="shared" si="4"/>
        <v>90941.04126</v>
      </c>
      <c r="U56" s="123">
        <f t="shared" si="5"/>
        <v>34.5497499999474</v>
      </c>
      <c r="V56" s="123">
        <f t="shared" si="6"/>
        <v>2700.42382800001</v>
      </c>
      <c r="W56" s="123">
        <f t="shared" si="7"/>
        <v>-42087.323908</v>
      </c>
      <c r="X56" s="123">
        <f t="shared" si="8"/>
        <v>-17998.37458</v>
      </c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</row>
    <row r="57" ht="15.75" customHeight="1">
      <c r="B57" s="99"/>
      <c r="C57" s="122" t="s">
        <v>81</v>
      </c>
      <c r="D57" s="123">
        <v>111</v>
      </c>
      <c r="E57" s="123">
        <v>117</v>
      </c>
      <c r="F57" s="123">
        <v>6</v>
      </c>
      <c r="G57" s="124">
        <v>7380.81081</v>
      </c>
      <c r="H57" s="124">
        <v>7380.76923</v>
      </c>
      <c r="I57" s="124">
        <v>1151.575579</v>
      </c>
      <c r="J57" s="124">
        <v>1152.332342</v>
      </c>
      <c r="K57" s="124">
        <v>6229.235231</v>
      </c>
      <c r="L57" s="123">
        <v>523988.656011</v>
      </c>
      <c r="M57" s="123">
        <v>561045.718953</v>
      </c>
      <c r="N57" s="123">
        <v>127084.561155</v>
      </c>
      <c r="O57" s="123">
        <v>134850.787518</v>
      </c>
      <c r="P57" s="123">
        <v>40371.893523</v>
      </c>
      <c r="Q57" s="123">
        <v>32830.609502</v>
      </c>
      <c r="R57" s="99"/>
      <c r="S57" s="99"/>
      <c r="T57" s="123">
        <f t="shared" si="4"/>
        <v>37375.411386</v>
      </c>
      <c r="U57" s="123">
        <f t="shared" si="5"/>
        <v>-4.86486000000787</v>
      </c>
      <c r="V57" s="123">
        <f t="shared" si="6"/>
        <v>-88.5412709999841</v>
      </c>
      <c r="W57" s="123">
        <f t="shared" si="7"/>
        <v>-37057.062942</v>
      </c>
      <c r="X57" s="123">
        <f t="shared" si="8"/>
        <v>-7766.22636299999</v>
      </c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</row>
    <row r="58" ht="15.75" customHeight="1">
      <c r="B58" s="99"/>
      <c r="C58" s="122" t="s">
        <v>82</v>
      </c>
      <c r="D58" s="123">
        <v>129</v>
      </c>
      <c r="E58" s="123">
        <v>138</v>
      </c>
      <c r="F58" s="123">
        <v>9</v>
      </c>
      <c r="G58" s="124">
        <v>7870.697674</v>
      </c>
      <c r="H58" s="124">
        <v>7870.652173</v>
      </c>
      <c r="I58" s="124">
        <v>1128.975828</v>
      </c>
      <c r="J58" s="124">
        <v>1116.136412</v>
      </c>
      <c r="K58" s="124">
        <v>6741.721846</v>
      </c>
      <c r="L58" s="123">
        <v>664828.49517</v>
      </c>
      <c r="M58" s="123">
        <v>724170.975828</v>
      </c>
      <c r="N58" s="123">
        <v>147692.868369</v>
      </c>
      <c r="O58" s="123">
        <v>159054.820236</v>
      </c>
      <c r="P58" s="123">
        <v>57160.754608</v>
      </c>
      <c r="Q58" s="123">
        <v>48897.379072</v>
      </c>
      <c r="R58" s="99"/>
      <c r="S58" s="99"/>
      <c r="T58" s="123">
        <f t="shared" si="4"/>
        <v>60675.496614</v>
      </c>
      <c r="U58" s="123">
        <f t="shared" si="5"/>
        <v>-6.27913799994531</v>
      </c>
      <c r="V58" s="123">
        <f t="shared" si="6"/>
        <v>1771.839408</v>
      </c>
      <c r="W58" s="123">
        <f t="shared" si="7"/>
        <v>-59342.480658</v>
      </c>
      <c r="X58" s="123">
        <f t="shared" si="8"/>
        <v>-11361.951867</v>
      </c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</row>
    <row r="59" ht="15.75" customHeight="1">
      <c r="B59" s="99"/>
      <c r="C59" s="122"/>
      <c r="D59" s="123"/>
      <c r="E59" s="123"/>
      <c r="F59" s="123"/>
      <c r="G59" s="124"/>
      <c r="H59" s="124"/>
      <c r="I59" s="124"/>
      <c r="J59" s="124"/>
      <c r="K59" s="124"/>
      <c r="L59" s="123"/>
      <c r="M59" s="123"/>
      <c r="N59" s="123"/>
      <c r="O59" s="123"/>
      <c r="P59" s="123"/>
      <c r="Q59" s="123"/>
      <c r="R59" s="99"/>
      <c r="S59" s="99"/>
      <c r="T59" s="123"/>
      <c r="U59" s="123"/>
      <c r="V59" s="123"/>
      <c r="W59" s="123"/>
      <c r="X59" s="123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  <c r="BZ59" s="99"/>
      <c r="CA59" s="99"/>
      <c r="CB59" s="99"/>
      <c r="CC59" s="99"/>
      <c r="CD59" s="99"/>
      <c r="CE59" s="99"/>
    </row>
    <row r="60" ht="15.75" customHeight="1">
      <c r="B60" s="99"/>
      <c r="C60" s="122"/>
      <c r="D60" s="123"/>
      <c r="E60" s="123"/>
      <c r="F60" s="123"/>
      <c r="G60" s="124"/>
      <c r="H60" s="124"/>
      <c r="I60" s="124"/>
      <c r="J60" s="124"/>
      <c r="K60" s="124"/>
      <c r="L60" s="123"/>
      <c r="M60" s="123"/>
      <c r="N60" s="123"/>
      <c r="O60" s="123"/>
      <c r="P60" s="123"/>
      <c r="Q60" s="123"/>
      <c r="R60" s="99"/>
      <c r="S60" s="99"/>
      <c r="T60" s="123"/>
      <c r="U60" s="123"/>
      <c r="V60" s="123"/>
      <c r="W60" s="123"/>
      <c r="X60" s="123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</row>
    <row r="61" ht="15.75" customHeight="1">
      <c r="B61" s="99"/>
      <c r="C61" s="122"/>
      <c r="D61" s="123"/>
      <c r="E61" s="123"/>
      <c r="F61" s="123"/>
      <c r="G61" s="124"/>
      <c r="H61" s="124"/>
      <c r="I61" s="124"/>
      <c r="J61" s="124"/>
      <c r="K61" s="124"/>
      <c r="L61" s="123"/>
      <c r="M61" s="123"/>
      <c r="N61" s="123"/>
      <c r="O61" s="123"/>
      <c r="P61" s="123"/>
      <c r="Q61" s="123"/>
      <c r="R61" s="99"/>
      <c r="S61" s="99"/>
      <c r="T61" s="123"/>
      <c r="U61" s="123"/>
      <c r="V61" s="123"/>
      <c r="W61" s="123"/>
      <c r="X61" s="123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</row>
    <row r="62" ht="15.75" customHeight="1">
      <c r="B62" s="99"/>
      <c r="C62" s="122"/>
      <c r="D62" s="123"/>
      <c r="E62" s="123"/>
      <c r="F62" s="123"/>
      <c r="G62" s="124"/>
      <c r="H62" s="124"/>
      <c r="I62" s="124"/>
      <c r="J62" s="124"/>
      <c r="K62" s="124"/>
      <c r="L62" s="123"/>
      <c r="M62" s="123"/>
      <c r="N62" s="123"/>
      <c r="O62" s="123"/>
      <c r="P62" s="123"/>
      <c r="Q62" s="123"/>
      <c r="R62" s="99"/>
      <c r="S62" s="99"/>
      <c r="T62" s="123"/>
      <c r="U62" s="123"/>
      <c r="V62" s="123"/>
      <c r="W62" s="123"/>
      <c r="X62" s="123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</row>
    <row r="63" ht="15.75" customHeight="1">
      <c r="B63" s="99"/>
      <c r="C63" s="122"/>
      <c r="D63" s="123"/>
      <c r="E63" s="123"/>
      <c r="F63" s="123"/>
      <c r="G63" s="124"/>
      <c r="H63" s="124"/>
      <c r="I63" s="124"/>
      <c r="J63" s="124"/>
      <c r="K63" s="124"/>
      <c r="L63" s="123"/>
      <c r="M63" s="123"/>
      <c r="N63" s="123"/>
      <c r="O63" s="123"/>
      <c r="P63" s="123"/>
      <c r="Q63" s="123"/>
      <c r="R63" s="99"/>
      <c r="S63" s="99"/>
      <c r="T63" s="123"/>
      <c r="U63" s="123"/>
      <c r="V63" s="123"/>
      <c r="W63" s="123"/>
      <c r="X63" s="123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99"/>
    </row>
    <row r="64" ht="15.75" customHeight="1">
      <c r="B64" s="99"/>
      <c r="C64" s="122"/>
      <c r="D64" s="123"/>
      <c r="E64" s="123"/>
      <c r="F64" s="123"/>
      <c r="G64" s="124"/>
      <c r="H64" s="124"/>
      <c r="I64" s="124"/>
      <c r="J64" s="124"/>
      <c r="K64" s="124"/>
      <c r="L64" s="123"/>
      <c r="M64" s="123"/>
      <c r="N64" s="123"/>
      <c r="O64" s="123"/>
      <c r="P64" s="123"/>
      <c r="Q64" s="123"/>
      <c r="R64" s="99"/>
      <c r="S64" s="99"/>
      <c r="T64" s="123"/>
      <c r="U64" s="123"/>
      <c r="V64" s="123"/>
      <c r="W64" s="123"/>
      <c r="X64" s="123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99"/>
      <c r="BS64" s="99"/>
      <c r="BT64" s="99"/>
      <c r="BU64" s="99"/>
      <c r="BV64" s="99"/>
      <c r="BW64" s="99"/>
      <c r="BX64" s="99"/>
      <c r="BY64" s="99"/>
      <c r="BZ64" s="99"/>
      <c r="CA64" s="99"/>
      <c r="CB64" s="99"/>
      <c r="CC64" s="99"/>
      <c r="CD64" s="99"/>
      <c r="CE64" s="99"/>
    </row>
    <row r="65" ht="15.75" customHeight="1">
      <c r="B65" s="99"/>
      <c r="C65" s="122"/>
      <c r="D65" s="123"/>
      <c r="E65" s="123"/>
      <c r="F65" s="123"/>
      <c r="G65" s="124"/>
      <c r="H65" s="124"/>
      <c r="I65" s="124"/>
      <c r="J65" s="124"/>
      <c r="K65" s="124"/>
      <c r="L65" s="123"/>
      <c r="M65" s="123"/>
      <c r="N65" s="123"/>
      <c r="O65" s="123"/>
      <c r="P65" s="123"/>
      <c r="Q65" s="123"/>
      <c r="R65" s="99"/>
      <c r="S65" s="99"/>
      <c r="T65" s="123"/>
      <c r="U65" s="123"/>
      <c r="V65" s="123"/>
      <c r="W65" s="123"/>
      <c r="X65" s="123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</row>
    <row r="66" ht="15.75" customHeight="1">
      <c r="B66" s="99"/>
      <c r="C66" s="122"/>
      <c r="D66" s="123"/>
      <c r="E66" s="123"/>
      <c r="F66" s="123"/>
      <c r="G66" s="124"/>
      <c r="H66" s="124"/>
      <c r="I66" s="124"/>
      <c r="J66" s="124"/>
      <c r="K66" s="124"/>
      <c r="L66" s="123"/>
      <c r="M66" s="123"/>
      <c r="N66" s="123"/>
      <c r="O66" s="123"/>
      <c r="P66" s="123"/>
      <c r="Q66" s="123"/>
      <c r="R66" s="99"/>
      <c r="S66" s="99"/>
      <c r="T66" s="123"/>
      <c r="U66" s="123"/>
      <c r="V66" s="123"/>
      <c r="W66" s="123"/>
      <c r="X66" s="123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</row>
    <row r="67" ht="15.75" customHeight="1">
      <c r="B67" s="99"/>
      <c r="C67" s="122"/>
      <c r="D67" s="123"/>
      <c r="E67" s="123"/>
      <c r="F67" s="123"/>
      <c r="G67" s="124"/>
      <c r="H67" s="124"/>
      <c r="I67" s="124"/>
      <c r="J67" s="124"/>
      <c r="K67" s="124"/>
      <c r="L67" s="123"/>
      <c r="M67" s="123"/>
      <c r="N67" s="123"/>
      <c r="O67" s="123"/>
      <c r="P67" s="123"/>
      <c r="Q67" s="123"/>
      <c r="R67" s="99"/>
      <c r="S67" s="99"/>
      <c r="T67" s="123"/>
      <c r="U67" s="123"/>
      <c r="V67" s="123"/>
      <c r="W67" s="123"/>
      <c r="X67" s="123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</row>
    <row r="68" ht="15.75" customHeight="1">
      <c r="B68" s="99"/>
      <c r="C68" s="122"/>
      <c r="D68" s="123"/>
      <c r="E68" s="123"/>
      <c r="F68" s="123"/>
      <c r="G68" s="124"/>
      <c r="H68" s="124"/>
      <c r="I68" s="124"/>
      <c r="J68" s="124"/>
      <c r="K68" s="124"/>
      <c r="L68" s="123"/>
      <c r="M68" s="123"/>
      <c r="N68" s="123"/>
      <c r="O68" s="123"/>
      <c r="P68" s="123"/>
      <c r="Q68" s="123"/>
      <c r="R68" s="99"/>
      <c r="S68" s="99"/>
      <c r="T68" s="123"/>
      <c r="U68" s="123"/>
      <c r="V68" s="123"/>
      <c r="W68" s="123"/>
      <c r="X68" s="123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</row>
    <row r="69" ht="15.75" customHeight="1">
      <c r="B69" s="99"/>
      <c r="C69" s="122"/>
      <c r="D69" s="123"/>
      <c r="E69" s="123"/>
      <c r="F69" s="123"/>
      <c r="G69" s="124"/>
      <c r="H69" s="124"/>
      <c r="I69" s="124"/>
      <c r="J69" s="124"/>
      <c r="K69" s="124"/>
      <c r="L69" s="123"/>
      <c r="M69" s="123"/>
      <c r="N69" s="123"/>
      <c r="O69" s="123"/>
      <c r="P69" s="123"/>
      <c r="Q69" s="123"/>
      <c r="R69" s="99"/>
      <c r="S69" s="99"/>
      <c r="T69" s="123"/>
      <c r="U69" s="123"/>
      <c r="V69" s="123"/>
      <c r="W69" s="123"/>
      <c r="X69" s="123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</row>
    <row r="70" ht="15.75" customHeight="1">
      <c r="B70" s="99"/>
      <c r="C70" s="122"/>
      <c r="D70" s="123"/>
      <c r="E70" s="123"/>
      <c r="F70" s="123"/>
      <c r="G70" s="124"/>
      <c r="H70" s="124"/>
      <c r="I70" s="124"/>
      <c r="J70" s="124"/>
      <c r="K70" s="124"/>
      <c r="L70" s="123"/>
      <c r="M70" s="123"/>
      <c r="N70" s="123"/>
      <c r="O70" s="123"/>
      <c r="P70" s="123"/>
      <c r="Q70" s="123"/>
      <c r="R70" s="99"/>
      <c r="S70" s="99"/>
      <c r="T70" s="123"/>
      <c r="U70" s="123"/>
      <c r="V70" s="123"/>
      <c r="W70" s="123"/>
      <c r="X70" s="123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</row>
    <row r="71" ht="15.75" customHeight="1">
      <c r="B71" s="99"/>
      <c r="C71" s="122"/>
      <c r="D71" s="123"/>
      <c r="E71" s="123"/>
      <c r="F71" s="123"/>
      <c r="G71" s="124"/>
      <c r="H71" s="124"/>
      <c r="I71" s="124"/>
      <c r="J71" s="124"/>
      <c r="K71" s="124"/>
      <c r="L71" s="123"/>
      <c r="M71" s="123"/>
      <c r="N71" s="123"/>
      <c r="O71" s="123"/>
      <c r="P71" s="123"/>
      <c r="Q71" s="123"/>
      <c r="R71" s="99"/>
      <c r="S71" s="99"/>
      <c r="T71" s="123"/>
      <c r="U71" s="123"/>
      <c r="V71" s="123"/>
      <c r="W71" s="123"/>
      <c r="X71" s="123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</row>
    <row r="72" ht="15.75" customHeight="1">
      <c r="B72" s="99"/>
      <c r="C72" s="122"/>
      <c r="D72" s="123"/>
      <c r="E72" s="123"/>
      <c r="F72" s="123"/>
      <c r="G72" s="124"/>
      <c r="H72" s="124"/>
      <c r="I72" s="124"/>
      <c r="J72" s="124"/>
      <c r="K72" s="124"/>
      <c r="L72" s="123"/>
      <c r="M72" s="123"/>
      <c r="N72" s="123"/>
      <c r="O72" s="123"/>
      <c r="P72" s="123"/>
      <c r="Q72" s="123"/>
      <c r="R72" s="99"/>
      <c r="S72" s="99"/>
      <c r="T72" s="123"/>
      <c r="U72" s="123"/>
      <c r="V72" s="123"/>
      <c r="W72" s="123"/>
      <c r="X72" s="123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99"/>
    </row>
    <row r="73" ht="15.75" customHeight="1">
      <c r="B73" s="99"/>
      <c r="C73" s="122"/>
      <c r="D73" s="123"/>
      <c r="E73" s="123"/>
      <c r="F73" s="123"/>
      <c r="G73" s="124"/>
      <c r="H73" s="124"/>
      <c r="I73" s="124"/>
      <c r="J73" s="124"/>
      <c r="K73" s="124"/>
      <c r="L73" s="123"/>
      <c r="M73" s="123"/>
      <c r="N73" s="123"/>
      <c r="O73" s="123"/>
      <c r="P73" s="123"/>
      <c r="Q73" s="123"/>
      <c r="R73" s="99"/>
      <c r="S73" s="99"/>
      <c r="T73" s="123"/>
      <c r="U73" s="123"/>
      <c r="V73" s="123"/>
      <c r="W73" s="123"/>
      <c r="X73" s="123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</row>
    <row r="74" ht="15.75" customHeight="1">
      <c r="B74" s="99"/>
      <c r="C74" s="122"/>
      <c r="D74" s="123"/>
      <c r="E74" s="123"/>
      <c r="F74" s="123"/>
      <c r="G74" s="124"/>
      <c r="H74" s="124"/>
      <c r="I74" s="124"/>
      <c r="J74" s="124"/>
      <c r="K74" s="124"/>
      <c r="L74" s="123"/>
      <c r="M74" s="123"/>
      <c r="N74" s="123"/>
      <c r="O74" s="123"/>
      <c r="P74" s="123"/>
      <c r="Q74" s="123"/>
      <c r="R74" s="99"/>
      <c r="S74" s="99"/>
      <c r="T74" s="123"/>
      <c r="U74" s="123"/>
      <c r="V74" s="123"/>
      <c r="W74" s="123"/>
      <c r="X74" s="123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</row>
    <row r="75" ht="14.25" customHeight="1">
      <c r="B75" s="99"/>
      <c r="C75" s="122"/>
      <c r="D75" s="123"/>
      <c r="E75" s="123"/>
      <c r="F75" s="123"/>
      <c r="G75" s="124"/>
      <c r="H75" s="124"/>
      <c r="I75" s="124"/>
      <c r="J75" s="124"/>
      <c r="K75" s="124"/>
      <c r="L75" s="123"/>
      <c r="M75" s="123"/>
      <c r="N75" s="123"/>
      <c r="O75" s="123"/>
      <c r="P75" s="123"/>
      <c r="Q75" s="123"/>
      <c r="R75" s="99"/>
      <c r="S75" s="99"/>
      <c r="T75" s="123"/>
      <c r="U75" s="123"/>
      <c r="V75" s="123"/>
      <c r="W75" s="123"/>
      <c r="X75" s="123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</row>
    <row r="76" ht="14.25" customHeight="1">
      <c r="B76" s="99"/>
      <c r="C76" s="122"/>
      <c r="D76" s="123"/>
      <c r="E76" s="123"/>
      <c r="F76" s="123"/>
      <c r="G76" s="124"/>
      <c r="H76" s="124"/>
      <c r="I76" s="124"/>
      <c r="J76" s="124"/>
      <c r="K76" s="124"/>
      <c r="L76" s="123"/>
      <c r="M76" s="123"/>
      <c r="N76" s="123"/>
      <c r="O76" s="123"/>
      <c r="P76" s="123"/>
      <c r="Q76" s="123"/>
      <c r="R76" s="99"/>
      <c r="S76" s="99"/>
      <c r="T76" s="123"/>
      <c r="U76" s="123"/>
      <c r="V76" s="123"/>
      <c r="W76" s="123"/>
      <c r="X76" s="123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</row>
    <row r="77" ht="14.25" customHeight="1">
      <c r="B77" s="99"/>
      <c r="C77" s="122"/>
      <c r="D77" s="123"/>
      <c r="E77" s="123"/>
      <c r="F77" s="123"/>
      <c r="G77" s="124"/>
      <c r="H77" s="124"/>
      <c r="I77" s="124"/>
      <c r="J77" s="124"/>
      <c r="K77" s="124"/>
      <c r="L77" s="123"/>
      <c r="M77" s="123"/>
      <c r="N77" s="123"/>
      <c r="O77" s="123"/>
      <c r="P77" s="123"/>
      <c r="Q77" s="123"/>
      <c r="R77" s="99"/>
      <c r="S77" s="99"/>
      <c r="T77" s="123"/>
      <c r="U77" s="123"/>
      <c r="V77" s="123"/>
      <c r="W77" s="123"/>
      <c r="X77" s="123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</row>
    <row r="78" ht="14.25" customHeight="1">
      <c r="T78" s="123"/>
      <c r="U78" s="123"/>
      <c r="V78" s="123"/>
      <c r="W78" s="123"/>
      <c r="X78" s="123"/>
    </row>
    <row r="79" ht="14.25" customHeight="1">
      <c r="T79" s="123"/>
      <c r="U79" s="123"/>
      <c r="V79" s="123"/>
      <c r="W79" s="123"/>
      <c r="X79" s="123"/>
    </row>
    <row r="80" ht="14.25" customHeight="1">
      <c r="T80" s="123"/>
      <c r="U80" s="123"/>
      <c r="V80" s="123"/>
      <c r="W80" s="123"/>
      <c r="X80" s="123"/>
    </row>
    <row r="81" ht="14.25" customHeight="1">
      <c r="T81" s="123"/>
      <c r="U81" s="123"/>
      <c r="V81" s="123"/>
      <c r="W81" s="123"/>
      <c r="X81" s="123"/>
    </row>
    <row r="82" ht="14.25" customHeight="1">
      <c r="T82" s="123"/>
      <c r="U82" s="123"/>
      <c r="V82" s="123"/>
      <c r="W82" s="123"/>
      <c r="X82" s="123"/>
    </row>
    <row r="83" ht="14.25" customHeight="1">
      <c r="T83" s="123"/>
      <c r="U83" s="123"/>
      <c r="V83" s="123"/>
      <c r="W83" s="123"/>
      <c r="X83" s="123"/>
    </row>
  </sheetData>
  <sheetProtection sort="1" autoFilter="0"/>
  <conditionalFormatting sqref="C45:Q77">
    <cfRule type="expression" dxfId="7" priority="9" text="null">
      <formula>$C45&lt;&gt;""</formula>
    </cfRule>
  </conditionalFormatting>
  <conditionalFormatting sqref="D14:D18">
    <cfRule type="cellIs" dxfId="8" priority="1" operator="greaterThan" text="null">
      <formula>0</formula>
    </cfRule>
  </conditionalFormatting>
  <conditionalFormatting sqref="D14:D18">
    <cfRule type="cellIs" dxfId="9" priority="2" operator="lessThan" text="null">
      <formula>0</formula>
    </cfRule>
  </conditionalFormatting>
  <conditionalFormatting sqref="T45:X83">
    <cfRule type="expression" dxfId="10" priority="10" text="null">
      <formula>$C45&lt;&gt;""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B694AC8-1AE8-BB28-1CEA-4D12720084D9}" mc:Ignorable="x14ac xr xr2 xr3">
  <dimension ref="A1:AA177"/>
  <sheetViews>
    <sheetView showGridLines="0" showRowColHeaders="0" topLeftCell="A4" workbookViewId="0" tabSelected="1">
      <selection activeCell="O8" sqref="O8"/>
    </sheetView>
  </sheetViews>
  <sheetFormatPr defaultRowHeight="14.25" defaultColWidth="9.00390625" customHeight="1"/>
  <cols>
    <col min="1" max="1" width="1.57421875" customWidth="1"/>
    <col min="2" max="2" width="2.421875" customWidth="1"/>
    <col min="3" max="3" width="9.00390625" customWidth="1"/>
    <col min="4" max="4" width="16.00390625" customWidth="1"/>
    <col min="5" max="5" width="47" customWidth="1"/>
    <col min="6" max="7" width="15.00390625" customWidth="1"/>
    <col min="8" max="8" width="14.00390625" customWidth="1"/>
    <col min="9" max="9" width="15.00390625" customWidth="1"/>
    <col min="10" max="10" width="130.57421875" customWidth="1"/>
    <col min="15" max="20" style="3" width="13.00390625" customWidth="1"/>
    <col min="21" max="22" style="3" width="9.00390625" customWidth="1"/>
    <col min="23" max="23" style="3" width="9.28125" customWidth="1"/>
    <col min="24" max="24" style="3" width="29.00390625" customWidth="1"/>
    <col min="25" max="26" style="3" width="16.00390625" customWidth="1"/>
    <col min="27" max="27" style="3" width="9.00390625" customWidth="1"/>
    <col min="28" max="84" width="9.00390625" customWidth="1"/>
  </cols>
  <sheetData>
    <row r="1" ht="6.75" customHeight="1"/>
    <row r="2" ht="14.25" customHeight="1"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ht="26.25" customHeight="1">
      <c r="B3" s="92"/>
      <c r="C3" s="94"/>
      <c r="D3" s="94"/>
      <c r="E3" s="94" t="s">
        <v>116</v>
      </c>
      <c r="F3" s="92"/>
      <c r="G3" s="92"/>
      <c r="H3" s="92"/>
      <c r="I3" s="92"/>
      <c r="J3" s="92"/>
      <c r="K3" s="92"/>
      <c r="L3" s="92"/>
      <c r="M3" s="92"/>
      <c r="N3" s="92"/>
    </row>
    <row r="4" ht="23.25" customHeight="1">
      <c r="B4" s="92"/>
      <c r="C4" s="125"/>
      <c r="D4" s="125"/>
      <c r="E4" s="125"/>
      <c r="F4" s="92"/>
      <c r="G4" s="92"/>
      <c r="H4" s="92"/>
      <c r="I4" s="92"/>
      <c r="J4" s="92"/>
      <c r="K4" s="92"/>
      <c r="L4" s="92"/>
      <c r="M4" s="92"/>
      <c r="N4" s="92"/>
    </row>
    <row r="5" ht="9.75" customHeight="1"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</row>
    <row r="6" ht="24" customHeight="1">
      <c r="B6" s="99"/>
      <c r="C6" s="126" t="str">
        <f>"Sur "&amp;TEXT(SUM(G35:G37),"#,##0 €")&amp;" de chiffre d'affaires, "&amp;TEXT(-SUM(G38:G50),"#,##0 €")&amp;" partent en charges. Il reste "&amp;TEXT(SUM(G35:G50),"#,##0 €")&amp;" d'EBITDA, soit "&amp;TEXT(SUM(G35:G50)/SUM(G35:G37),"0.0%")&amp;" du chiffre d'affaires."</f>
        <v>Sur 23.098.985 € de chiffre d'affaires, 19.253.179 € partent en charges. Il reste 3.845.806 € d'EBITDA, soit 16,6% du chiffre d'affaires.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ht="14.25" customHeight="1">
      <c r="B7" s="99"/>
      <c r="C7" s="101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27" t="s">
        <v>118</v>
      </c>
      <c r="P7" s="127" t="s">
        <v>119</v>
      </c>
      <c r="Q7" s="127" t="s">
        <v>120</v>
      </c>
      <c r="R7" s="127" t="s">
        <v>121</v>
      </c>
      <c r="S7" s="127" t="s">
        <v>122</v>
      </c>
      <c r="T7" s="127" t="s">
        <v>123</v>
      </c>
    </row>
    <row r="8" ht="8.25" customHeight="1"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3" t="s">
        <v>124</v>
      </c>
      <c r="P8" s="3" t="s">
        <v>125</v>
      </c>
      <c r="Q8" s="3" t="s">
        <v>126</v>
      </c>
      <c r="R8" s="3" t="s">
        <v>127</v>
      </c>
      <c r="S8" s="3">
        <v>-646928</v>
      </c>
      <c r="T8" s="3">
        <v>-677808</v>
      </c>
    </row>
    <row r="9" ht="15" customHeight="1"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3" t="s">
        <v>128</v>
      </c>
      <c r="P9" s="3" t="s">
        <v>125</v>
      </c>
      <c r="Q9" s="3" t="s">
        <v>129</v>
      </c>
      <c r="R9" s="3" t="s">
        <v>130</v>
      </c>
      <c r="S9" s="3">
        <v>-431286</v>
      </c>
      <c r="T9" s="3">
        <v>-451874</v>
      </c>
    </row>
    <row r="10" ht="15" customHeight="1"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3" t="s">
        <v>131</v>
      </c>
      <c r="P10" s="3" t="s">
        <v>132</v>
      </c>
      <c r="Q10" s="3" t="s">
        <v>133</v>
      </c>
      <c r="R10" s="3" t="s">
        <v>134</v>
      </c>
      <c r="S10" s="3">
        <v>-2264167.84</v>
      </c>
      <c r="T10" s="3">
        <v>-2372423.51</v>
      </c>
    </row>
    <row r="11" ht="15" customHeight="1"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3" t="s">
        <v>135</v>
      </c>
      <c r="P11" s="3" t="s">
        <v>132</v>
      </c>
      <c r="Q11" s="3" t="s">
        <v>136</v>
      </c>
      <c r="R11" s="3" t="s">
        <v>137</v>
      </c>
      <c r="S11" s="3">
        <v>-323450.8</v>
      </c>
      <c r="T11" s="3">
        <v>-338915.38</v>
      </c>
    </row>
    <row r="12" ht="15" customHeight="1"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3" t="s">
        <v>138</v>
      </c>
      <c r="P12" s="3" t="s">
        <v>132</v>
      </c>
      <c r="Q12" s="3" t="s">
        <v>139</v>
      </c>
      <c r="R12" s="3" t="s">
        <v>140</v>
      </c>
      <c r="S12" s="3">
        <v>-215654.58</v>
      </c>
      <c r="T12" s="3">
        <v>-225926.43</v>
      </c>
    </row>
    <row r="13" ht="15" customHeight="1"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3" t="s">
        <v>141</v>
      </c>
      <c r="P13" s="3" t="s">
        <v>125</v>
      </c>
      <c r="Q13" s="3" t="s">
        <v>142</v>
      </c>
      <c r="R13" s="3" t="s">
        <v>143</v>
      </c>
      <c r="S13" s="3">
        <v>-1509499</v>
      </c>
      <c r="T13" s="3">
        <v>-1581554</v>
      </c>
    </row>
    <row r="14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3" t="s">
        <v>144</v>
      </c>
      <c r="P14" s="3" t="s">
        <v>125</v>
      </c>
      <c r="Q14" s="3" t="s">
        <v>145</v>
      </c>
      <c r="R14" s="3" t="s">
        <v>146</v>
      </c>
      <c r="S14" s="3">
        <v>-394702</v>
      </c>
      <c r="T14" s="3">
        <v>-434174</v>
      </c>
      <c r="W14" s="128" t="s">
        <v>147</v>
      </c>
      <c r="X14" s="129" t="s">
        <v>148</v>
      </c>
      <c r="Y14" s="129" t="s">
        <v>149</v>
      </c>
      <c r="Z14" s="129" t="s">
        <v>150</v>
      </c>
    </row>
    <row r="15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3" t="s">
        <v>151</v>
      </c>
      <c r="P15" s="3" t="s">
        <v>132</v>
      </c>
      <c r="Q15" s="3" t="s">
        <v>152</v>
      </c>
      <c r="R15" s="3" t="s">
        <v>153</v>
      </c>
      <c r="S15" s="3">
        <v>-323478.14</v>
      </c>
      <c r="T15" s="3">
        <v>-338890.38</v>
      </c>
      <c r="W15" s="129" t="s">
        <v>154</v>
      </c>
      <c r="X15" s="129" t="s">
        <v>155</v>
      </c>
      <c r="Y15" s="129">
        <v>3120000</v>
      </c>
      <c r="Z15" s="129">
        <v>3306675</v>
      </c>
    </row>
    <row r="16" ht="15" customHeight="1"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3" t="s">
        <v>156</v>
      </c>
      <c r="P16" s="3" t="s">
        <v>132</v>
      </c>
      <c r="Q16" s="3" t="s">
        <v>157</v>
      </c>
      <c r="R16" s="3" t="s">
        <v>158</v>
      </c>
      <c r="S16" s="3">
        <v>-215634.87</v>
      </c>
      <c r="T16" s="3">
        <v>-225943.95</v>
      </c>
      <c r="W16" s="3" t="s">
        <v>159</v>
      </c>
      <c r="X16" s="3" t="s">
        <v>160</v>
      </c>
      <c r="Y16" s="3">
        <v>18534460</v>
      </c>
      <c r="Z16" s="3">
        <v>19681700</v>
      </c>
    </row>
    <row r="17" ht="15" customHeight="1"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3" t="s">
        <v>161</v>
      </c>
      <c r="P17" s="3" t="s">
        <v>132</v>
      </c>
      <c r="Q17" s="3" t="s">
        <v>162</v>
      </c>
      <c r="R17" s="3" t="s">
        <v>163</v>
      </c>
      <c r="S17" s="3">
        <v>-3665791.33</v>
      </c>
      <c r="T17" s="3">
        <v>-3841069.84</v>
      </c>
      <c r="W17" s="3" t="s">
        <v>164</v>
      </c>
      <c r="X17" s="3" t="s">
        <v>165</v>
      </c>
      <c r="Y17" s="3">
        <v>104310</v>
      </c>
      <c r="Z17" s="3">
        <v>110610</v>
      </c>
    </row>
    <row r="18" ht="15" customHeight="1"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3" t="s">
        <v>166</v>
      </c>
      <c r="P18" s="3" t="s">
        <v>132</v>
      </c>
      <c r="Q18" s="3" t="s">
        <v>167</v>
      </c>
      <c r="R18" s="3" t="s">
        <v>168</v>
      </c>
      <c r="S18" s="3">
        <v>-1940873.02</v>
      </c>
      <c r="T18" s="3">
        <v>-2033330.6</v>
      </c>
    </row>
    <row r="19" ht="15" customHeight="1"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3" t="s">
        <v>169</v>
      </c>
      <c r="P19" s="3" t="s">
        <v>132</v>
      </c>
      <c r="Q19" s="3" t="s">
        <v>170</v>
      </c>
      <c r="R19" s="3" t="s">
        <v>171</v>
      </c>
      <c r="S19" s="3">
        <v>-3019137.46</v>
      </c>
      <c r="T19" s="3">
        <v>-3162957.9</v>
      </c>
    </row>
    <row r="20" ht="15" customHeight="1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3" t="s">
        <v>154</v>
      </c>
      <c r="P20" s="3" t="s">
        <v>172</v>
      </c>
      <c r="Q20" s="3" t="s">
        <v>173</v>
      </c>
      <c r="R20" s="3" t="s">
        <v>174</v>
      </c>
      <c r="S20" s="3">
        <v>3120000</v>
      </c>
      <c r="T20" s="3">
        <v>3306675</v>
      </c>
    </row>
    <row r="2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3" t="s">
        <v>159</v>
      </c>
      <c r="P21" s="3" t="s">
        <v>172</v>
      </c>
      <c r="Q21" s="3" t="s">
        <v>175</v>
      </c>
      <c r="R21" s="3" t="s">
        <v>176</v>
      </c>
      <c r="S21" s="3">
        <v>18534460</v>
      </c>
      <c r="T21" s="3">
        <v>19681700</v>
      </c>
    </row>
    <row r="22" ht="1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3" t="s">
        <v>164</v>
      </c>
      <c r="P22" s="3" t="s">
        <v>172</v>
      </c>
      <c r="Q22" s="3" t="s">
        <v>177</v>
      </c>
      <c r="R22" s="3" t="s">
        <v>165</v>
      </c>
      <c r="S22" s="3">
        <v>104310</v>
      </c>
      <c r="T22" s="3">
        <v>110610</v>
      </c>
    </row>
    <row r="23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3" t="s">
        <v>178</v>
      </c>
      <c r="P23" s="3" t="s">
        <v>179</v>
      </c>
      <c r="Q23" s="3" t="s">
        <v>180</v>
      </c>
      <c r="R23" s="3" t="s">
        <v>179</v>
      </c>
      <c r="S23" s="3">
        <v>-3340384.366223</v>
      </c>
      <c r="T23" s="3">
        <v>-3568311.451421</v>
      </c>
    </row>
    <row r="24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</row>
    <row r="25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</row>
    <row r="26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</row>
    <row r="27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</row>
    <row r="28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</row>
    <row r="29" ht="1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</row>
    <row r="30" ht="9.7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</row>
    <row r="31" ht="9.75" customHeight="1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</row>
    <row r="32" ht="9.75" customHeight="1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</row>
    <row r="33" ht="20.25" customHeight="1">
      <c r="B33" s="99"/>
      <c r="C33" s="102" t="s">
        <v>181</v>
      </c>
      <c r="D33" s="99"/>
      <c r="E33" s="99"/>
      <c r="F33" s="99"/>
      <c r="G33" s="99"/>
      <c r="H33" s="99"/>
      <c r="I33" s="103"/>
      <c r="J33" s="99"/>
      <c r="K33" s="99"/>
      <c r="L33" s="99"/>
      <c r="M33" s="99"/>
      <c r="N33" s="99"/>
    </row>
    <row r="34" ht="26.25" customHeight="1">
      <c r="B34" s="99"/>
      <c r="C34" s="104" t="s">
        <v>118</v>
      </c>
      <c r="D34" s="104" t="s">
        <v>119</v>
      </c>
      <c r="E34" s="104" t="s">
        <v>120</v>
      </c>
      <c r="F34" s="105" t="s">
        <v>122</v>
      </c>
      <c r="G34" s="105" t="s">
        <v>123</v>
      </c>
      <c r="H34" s="105" t="s">
        <v>182</v>
      </c>
      <c r="I34" s="105" t="s">
        <v>183</v>
      </c>
      <c r="J34" s="99"/>
      <c r="L34" t="s">
        <v>34</v>
      </c>
      <c r="M34" t="s">
        <v>37</v>
      </c>
      <c r="N34" s="99"/>
    </row>
    <row r="35" ht="15.75" customHeight="1">
      <c r="B35" s="99"/>
      <c r="C35" s="130" t="s">
        <v>154</v>
      </c>
      <c r="D35" s="131" t="str">
        <f t="shared" si="0" ref="D35:D50">IF(COUNTIF($O$8:$O$29,$C35)=0,"",VLOOKUP($C35,$O$8:$T$29,2,FALSE))</f>
        <v>Produits</v>
      </c>
      <c r="E35" s="122" t="str">
        <f t="shared" si="1" ref="E35:E50">IF(COUNTIF($O$8:$O$29,$C35)=0,"",VLOOKUP($C35,$O$8:$T$29,3,FALSE))</f>
        <v>Prestations de formation — scolarité (initial)</v>
      </c>
      <c r="F35" s="132">
        <f t="shared" si="2" ref="F35:F50">IF(COUNTIF($O$8:$O$29,$C35)=0,0,VLOOKUP($C35,$O$8:$T$29,5,FALSE))</f>
        <v>3120000</v>
      </c>
      <c r="G35" s="132">
        <f t="shared" si="3" ref="G35:G50">IF(COUNTIF($O$8:$O$29,$C35)=0,0,VLOOKUP($C35,$O$8:$T$29,6,FALSE))</f>
        <v>3306675</v>
      </c>
      <c r="H35" s="133">
        <f t="shared" si="4" ref="H35:H50">G35-F35</f>
        <v>186675</v>
      </c>
      <c r="I35" s="134" t="str">
        <f>IF($D35="Produits","",G35/SUM($G$38:$G$50))</f>
        <v/>
      </c>
      <c r="J35" s="99"/>
      <c r="K35" t="str">
        <f t="shared" si="5" ref="K35:K50">IF(COUNTIF($O$8:$O$29,$C35)=0,"",VLOOKUP($C35,$O$8:$T$29,4,FALSE))</f>
        <v>Scolarite initial</v>
      </c>
      <c r="N35" s="99"/>
    </row>
    <row r="36" ht="15.75" customHeight="1">
      <c r="B36" s="99"/>
      <c r="C36" s="130" t="s">
        <v>159</v>
      </c>
      <c r="D36" s="131" t="str">
        <f t="shared" si="0"/>
        <v>Produits</v>
      </c>
      <c r="E36" s="122" t="str">
        <f t="shared" si="1"/>
        <v>Prestations de formation — alternance (OPCO)</v>
      </c>
      <c r="F36" s="132">
        <f t="shared" si="2"/>
        <v>18534460</v>
      </c>
      <c r="G36" s="132">
        <f t="shared" si="3"/>
        <v>19681700</v>
      </c>
      <c r="H36" s="133">
        <f t="shared" si="4"/>
        <v>1147240</v>
      </c>
      <c r="I36" s="134" t="str">
        <f>IF($D36="Produits","",G36/SUM($G$38:$G$50))</f>
        <v/>
      </c>
      <c r="J36" s="99"/>
      <c r="K36" t="str">
        <f t="shared" si="5"/>
        <v>Scolarite alternance</v>
      </c>
      <c r="N36" s="99"/>
    </row>
    <row r="37" ht="15.75" customHeight="1">
      <c r="B37" s="99"/>
      <c r="C37" s="130" t="s">
        <v>164</v>
      </c>
      <c r="D37" s="131" t="str">
        <f t="shared" si="0"/>
        <v>Produits</v>
      </c>
      <c r="E37" s="122" t="str">
        <f t="shared" si="1"/>
        <v>Frais de dossier &amp; droits d'inscription</v>
      </c>
      <c r="F37" s="132">
        <f t="shared" si="2"/>
        <v>104310</v>
      </c>
      <c r="G37" s="132">
        <f t="shared" si="3"/>
        <v>110610</v>
      </c>
      <c r="H37" s="133">
        <f t="shared" si="4"/>
        <v>6300</v>
      </c>
      <c r="I37" s="134" t="str">
        <f>IF($D37="Produits","",G37/SUM($G$38:$G$50))</f>
        <v/>
      </c>
      <c r="J37" s="99"/>
      <c r="K37" t="str">
        <f t="shared" si="5"/>
        <v>Frais d'inscription</v>
      </c>
      <c r="N37" s="99"/>
    </row>
    <row r="38" ht="15.75" customHeight="1">
      <c r="B38" s="99"/>
      <c r="C38" s="130" t="s">
        <v>141</v>
      </c>
      <c r="D38" s="131" t="str">
        <f t="shared" si="0"/>
        <v>Cout variable</v>
      </c>
      <c r="E38" s="122" t="str">
        <f t="shared" si="1"/>
        <v>Personnel extérieur — vacataires &amp; intervenants</v>
      </c>
      <c r="F38" s="132">
        <f t="shared" si="2"/>
        <v>-1509499</v>
      </c>
      <c r="G38" s="132">
        <f t="shared" si="3"/>
        <v>-1581554</v>
      </c>
      <c r="H38" s="133">
        <f t="shared" si="4"/>
        <v>-72055</v>
      </c>
      <c r="I38" s="135">
        <f>IF($D38="Produits","",G38/SUM($G$38:$G$50))</f>
        <v>-0.0821450817934761</v>
      </c>
      <c r="J38" s="99"/>
      <c r="K38" t="str">
        <f t="shared" si="5"/>
        <v>Vacataires</v>
      </c>
      <c r="L38">
        <f t="shared" si="6" ref="L38:M50">-F38</f>
        <v>1509499</v>
      </c>
      <c r="M38">
        <f t="shared" si="6"/>
        <v>1581554</v>
      </c>
      <c r="N38" s="99"/>
    </row>
    <row r="39" ht="15.75" customHeight="1">
      <c r="B39" s="99"/>
      <c r="C39" s="130" t="s">
        <v>124</v>
      </c>
      <c r="D39" s="131" t="str">
        <f t="shared" si="0"/>
        <v>Cout variable</v>
      </c>
      <c r="E39" s="122" t="str">
        <f t="shared" si="1"/>
        <v>Sous-traitance pédagogique</v>
      </c>
      <c r="F39" s="132">
        <f t="shared" si="2"/>
        <v>-646928</v>
      </c>
      <c r="G39" s="132">
        <f t="shared" si="3"/>
        <v>-677808</v>
      </c>
      <c r="H39" s="133">
        <f t="shared" si="4"/>
        <v>-30880</v>
      </c>
      <c r="I39" s="135">
        <f>IF($D39="Produits","",G39/SUM($G$38:$G$50))</f>
        <v>-0.0352049905347983</v>
      </c>
      <c r="J39" s="99"/>
      <c r="K39" t="str">
        <f t="shared" si="5"/>
        <v>Achats d'etudes</v>
      </c>
      <c r="L39">
        <f t="shared" si="6"/>
        <v>646928</v>
      </c>
      <c r="M39">
        <f t="shared" si="6"/>
        <v>677808</v>
      </c>
      <c r="N39" s="99"/>
    </row>
    <row r="40" ht="15.75" customHeight="1">
      <c r="B40" s="99"/>
      <c r="C40" s="130" t="s">
        <v>128</v>
      </c>
      <c r="D40" s="131" t="str">
        <f t="shared" si="0"/>
        <v>Cout variable</v>
      </c>
      <c r="E40" s="122" t="str">
        <f t="shared" si="1"/>
        <v>Fournitures pédagogiques &amp; petit équipement</v>
      </c>
      <c r="F40" s="132">
        <f t="shared" si="2"/>
        <v>-431286</v>
      </c>
      <c r="G40" s="132">
        <f t="shared" si="3"/>
        <v>-451874</v>
      </c>
      <c r="H40" s="133">
        <f t="shared" si="4"/>
        <v>-20588</v>
      </c>
      <c r="I40" s="135">
        <f>IF($D40="Produits","",G40/SUM($G$38:$G$50))</f>
        <v>-0.0234700975688122</v>
      </c>
      <c r="J40" s="99"/>
      <c r="K40" t="str">
        <f t="shared" si="5"/>
        <v>Fournitures</v>
      </c>
      <c r="L40">
        <f t="shared" si="6"/>
        <v>431286</v>
      </c>
      <c r="M40">
        <f t="shared" si="6"/>
        <v>451874</v>
      </c>
      <c r="N40" s="99"/>
    </row>
    <row r="41" ht="15.75" customHeight="1">
      <c r="B41" s="99"/>
      <c r="C41" s="130" t="s">
        <v>144</v>
      </c>
      <c r="D41" s="131" t="str">
        <f t="shared" si="0"/>
        <v>Cout variable</v>
      </c>
      <c r="E41" s="122" t="str">
        <f t="shared" si="1"/>
        <v>Publicité &amp; marketing d'acquisition (leads)</v>
      </c>
      <c r="F41" s="132">
        <f t="shared" si="2"/>
        <v>-394702</v>
      </c>
      <c r="G41" s="132">
        <f t="shared" si="3"/>
        <v>-434174</v>
      </c>
      <c r="H41" s="133">
        <f t="shared" si="4"/>
        <v>-39472</v>
      </c>
      <c r="I41" s="135">
        <f>IF($D41="Produits","",G41/SUM($G$38:$G$50))</f>
        <v>-0.0225507688909773</v>
      </c>
      <c r="J41" s="99"/>
      <c r="K41" t="str">
        <f t="shared" si="5"/>
        <v>Acquisition</v>
      </c>
      <c r="L41">
        <f t="shared" si="6"/>
        <v>394702</v>
      </c>
      <c r="M41">
        <f t="shared" si="6"/>
        <v>434174</v>
      </c>
      <c r="N41" s="99"/>
    </row>
    <row r="42" ht="15.75" customHeight="1">
      <c r="B42" s="99"/>
      <c r="C42" s="130" t="s">
        <v>161</v>
      </c>
      <c r="D42" s="131" t="str">
        <f t="shared" si="0"/>
        <v>Couts directs</v>
      </c>
      <c r="E42" s="122" t="str">
        <f t="shared" si="1"/>
        <v>Rémunération enseignants permanents</v>
      </c>
      <c r="F42" s="132">
        <f t="shared" si="2"/>
        <v>-3665791.33</v>
      </c>
      <c r="G42" s="132">
        <f t="shared" si="3"/>
        <v>-3841069.84</v>
      </c>
      <c r="H42" s="133">
        <f t="shared" si="4"/>
        <v>-175278.51</v>
      </c>
      <c r="I42" s="135">
        <f>IF($D42="Produits","",G42/SUM($G$38:$G$50))</f>
        <v>-0.199503144490327</v>
      </c>
      <c r="J42" s="99"/>
      <c r="K42" t="str">
        <f t="shared" si="5"/>
        <v>Salaires</v>
      </c>
      <c r="L42">
        <f t="shared" si="6"/>
        <v>3665791.33</v>
      </c>
      <c r="M42">
        <f t="shared" si="6"/>
        <v>3841069.84</v>
      </c>
      <c r="N42" s="99"/>
    </row>
    <row r="43" ht="15.75" customHeight="1">
      <c r="B43" s="99"/>
      <c r="C43" s="130" t="s">
        <v>166</v>
      </c>
      <c r="D43" s="131" t="str">
        <f t="shared" si="0"/>
        <v>Couts directs</v>
      </c>
      <c r="E43" s="122" t="str">
        <f t="shared" si="1"/>
        <v>Rémunération personnel administratif &amp; pédagogique</v>
      </c>
      <c r="F43" s="132">
        <f t="shared" si="2"/>
        <v>-1940873.02</v>
      </c>
      <c r="G43" s="132">
        <f t="shared" si="3"/>
        <v>-2033330.6</v>
      </c>
      <c r="H43" s="133">
        <f t="shared" si="4"/>
        <v>-92457.5800000001</v>
      </c>
      <c r="I43" s="135">
        <f>IF($D43="Produits","",G43/SUM($G$38:$G$50))</f>
        <v>-0.105610120457586</v>
      </c>
      <c r="J43" s="99"/>
      <c r="K43" t="str">
        <f t="shared" si="5"/>
        <v>Primes</v>
      </c>
      <c r="L43">
        <f t="shared" si="6"/>
        <v>1940873.02</v>
      </c>
      <c r="M43">
        <f t="shared" si="6"/>
        <v>2033330.6</v>
      </c>
      <c r="N43" s="99"/>
    </row>
    <row r="44" ht="15.75" customHeight="1">
      <c r="B44" s="99"/>
      <c r="C44" s="130" t="s">
        <v>169</v>
      </c>
      <c r="D44" s="131" t="str">
        <f t="shared" si="0"/>
        <v>Couts directs</v>
      </c>
      <c r="E44" s="122" t="str">
        <f t="shared" si="1"/>
        <v>Charges sociales &amp; de prévoyance</v>
      </c>
      <c r="F44" s="132">
        <f t="shared" si="2"/>
        <v>-3019137.46</v>
      </c>
      <c r="G44" s="132">
        <f t="shared" si="3"/>
        <v>-3162957.9</v>
      </c>
      <c r="H44" s="133">
        <f t="shared" si="4"/>
        <v>-143820.44</v>
      </c>
      <c r="I44" s="135">
        <f>IF($D44="Produits","",G44/SUM($G$38:$G$50))</f>
        <v>-0.164282367472006</v>
      </c>
      <c r="J44" s="99"/>
      <c r="K44" t="str">
        <f t="shared" si="5"/>
        <v>Charges sociales</v>
      </c>
      <c r="L44">
        <f t="shared" si="6"/>
        <v>3019137.46</v>
      </c>
      <c r="M44">
        <f t="shared" si="6"/>
        <v>3162957.9</v>
      </c>
      <c r="N44" s="99"/>
    </row>
    <row r="45" ht="15.75" customHeight="1">
      <c r="B45" s="99"/>
      <c r="C45" s="130" t="s">
        <v>131</v>
      </c>
      <c r="D45" s="131" t="str">
        <f t="shared" si="0"/>
        <v>Couts directs</v>
      </c>
      <c r="E45" s="122" t="str">
        <f t="shared" si="1"/>
        <v>Loyers &amp; charges locatives (campus)</v>
      </c>
      <c r="F45" s="132">
        <f t="shared" si="2"/>
        <v>-2264167.84</v>
      </c>
      <c r="G45" s="132">
        <f t="shared" si="3"/>
        <v>-2372423.51</v>
      </c>
      <c r="H45" s="133">
        <f t="shared" si="4"/>
        <v>-108255.67</v>
      </c>
      <c r="I45" s="135">
        <f>IF($D45="Produits","",G45/SUM($G$38:$G$50))</f>
        <v>-0.123222427610891</v>
      </c>
      <c r="J45" s="99"/>
      <c r="K45" t="str">
        <f t="shared" si="5"/>
        <v>Loyers</v>
      </c>
      <c r="L45">
        <f t="shared" si="6"/>
        <v>2264167.84</v>
      </c>
      <c r="M45">
        <f t="shared" si="6"/>
        <v>2372423.51</v>
      </c>
      <c r="N45" s="99"/>
    </row>
    <row r="46" ht="15.75" customHeight="1">
      <c r="B46" s="99"/>
      <c r="C46" s="130" t="s">
        <v>135</v>
      </c>
      <c r="D46" s="131" t="str">
        <f t="shared" si="0"/>
        <v>Couts directs</v>
      </c>
      <c r="E46" s="122" t="str">
        <f t="shared" si="1"/>
        <v>Entretien &amp; maintenance</v>
      </c>
      <c r="F46" s="132">
        <f t="shared" si="2"/>
        <v>-323450.8</v>
      </c>
      <c r="G46" s="132">
        <f t="shared" si="3"/>
        <v>-338915.38</v>
      </c>
      <c r="H46" s="133">
        <f t="shared" si="4"/>
        <v>-15464.58</v>
      </c>
      <c r="I46" s="135">
        <f>IF($D46="Produits","",G46/SUM($G$38:$G$50))</f>
        <v>-0.0176030863386056</v>
      </c>
      <c r="J46" s="99"/>
      <c r="K46" t="str">
        <f t="shared" si="5"/>
        <v>Entretien</v>
      </c>
      <c r="L46">
        <f t="shared" si="6"/>
        <v>323450.8</v>
      </c>
      <c r="M46">
        <f t="shared" si="6"/>
        <v>338915.38</v>
      </c>
      <c r="N46" s="99"/>
    </row>
    <row r="47" ht="15.75" customHeight="1">
      <c r="B47" s="99"/>
      <c r="C47" s="130" t="s">
        <v>138</v>
      </c>
      <c r="D47" s="131" t="str">
        <f t="shared" si="0"/>
        <v>Couts directs</v>
      </c>
      <c r="E47" s="122" t="str">
        <f t="shared" si="1"/>
        <v>Primes d'assurance</v>
      </c>
      <c r="F47" s="132">
        <f t="shared" si="2"/>
        <v>-215654.58</v>
      </c>
      <c r="G47" s="132">
        <f t="shared" si="3"/>
        <v>-225926.43</v>
      </c>
      <c r="H47" s="133">
        <f t="shared" si="4"/>
        <v>-10271.85</v>
      </c>
      <c r="I47" s="135">
        <f>IF($D47="Produits","",G47/SUM($G$38:$G$50))</f>
        <v>-0.0117344997841731</v>
      </c>
      <c r="J47" s="99"/>
      <c r="K47" t="str">
        <f t="shared" si="5"/>
        <v>Assurances</v>
      </c>
      <c r="L47">
        <f t="shared" si="6"/>
        <v>215654.58</v>
      </c>
      <c r="M47">
        <f t="shared" si="6"/>
        <v>225926.43</v>
      </c>
      <c r="N47" s="99"/>
    </row>
    <row r="48" ht="15.75" customHeight="1">
      <c r="B48" s="99"/>
      <c r="C48" s="130" t="s">
        <v>151</v>
      </c>
      <c r="D48" s="131" t="str">
        <f t="shared" si="0"/>
        <v>Couts directs</v>
      </c>
      <c r="E48" s="122" t="str">
        <f t="shared" si="1"/>
        <v>Déplacements, missions &amp; réceptions</v>
      </c>
      <c r="F48" s="132">
        <f t="shared" si="2"/>
        <v>-323478.14</v>
      </c>
      <c r="G48" s="132">
        <f t="shared" si="3"/>
        <v>-338890.38</v>
      </c>
      <c r="H48" s="133">
        <f t="shared" si="4"/>
        <v>-15412.24</v>
      </c>
      <c r="I48" s="135">
        <f>IF($D48="Produits","",G48/SUM($G$38:$G$50))</f>
        <v>-0.0176017878517725</v>
      </c>
      <c r="J48" s="99"/>
      <c r="K48" t="str">
        <f t="shared" si="5"/>
        <v>Deplacements</v>
      </c>
      <c r="L48">
        <f t="shared" si="6"/>
        <v>323478.14</v>
      </c>
      <c r="M48">
        <f t="shared" si="6"/>
        <v>338890.38</v>
      </c>
      <c r="N48" s="99"/>
    </row>
    <row r="49" ht="14.25" customHeight="1">
      <c r="B49" s="99"/>
      <c r="C49" s="130" t="s">
        <v>156</v>
      </c>
      <c r="D49" s="131" t="str">
        <f t="shared" si="0"/>
        <v>Couts directs</v>
      </c>
      <c r="E49" s="122" t="str">
        <f t="shared" si="1"/>
        <v>Cotisation foncière &amp; CVAE</v>
      </c>
      <c r="F49" s="132">
        <f t="shared" si="2"/>
        <v>-215634.87</v>
      </c>
      <c r="G49" s="132">
        <f t="shared" si="3"/>
        <v>-225943.95</v>
      </c>
      <c r="H49" s="133">
        <f t="shared" si="4"/>
        <v>-10309.08</v>
      </c>
      <c r="I49" s="135">
        <f>IF($D49="Produits","",G49/SUM($G$38:$G$50))</f>
        <v>-0.0117354097637457</v>
      </c>
      <c r="J49" s="99"/>
      <c r="K49" t="str">
        <f t="shared" si="5"/>
        <v>Taxes</v>
      </c>
      <c r="L49">
        <f t="shared" si="6"/>
        <v>215634.87</v>
      </c>
      <c r="M49">
        <f t="shared" si="6"/>
        <v>225943.95</v>
      </c>
      <c r="N49" s="99"/>
    </row>
    <row r="50" ht="14.25" customHeight="1">
      <c r="B50" s="99"/>
      <c r="C50" s="130" t="s">
        <v>178</v>
      </c>
      <c r="D50" s="131" t="str">
        <f t="shared" si="0"/>
        <v>Siege</v>
      </c>
      <c r="E50" s="122" t="str">
        <f t="shared" si="1"/>
        <v>Siege redescendu (allocation, pas une ecriture)</v>
      </c>
      <c r="F50" s="132">
        <f t="shared" si="2"/>
        <v>-3340384.366223</v>
      </c>
      <c r="G50" s="132">
        <f t="shared" si="3"/>
        <v>-3568311.451421</v>
      </c>
      <c r="H50" s="133">
        <f t="shared" si="4"/>
        <v>-227927.085198</v>
      </c>
      <c r="I50" s="135">
        <f>IF($D50="Produits","",G50/SUM($G$38:$G$50))</f>
        <v>-0.185336217442829</v>
      </c>
      <c r="J50" s="99"/>
      <c r="K50" t="str">
        <f t="shared" si="5"/>
        <v>Siege</v>
      </c>
      <c r="L50">
        <f t="shared" si="6"/>
        <v>3340384.366223</v>
      </c>
      <c r="M50">
        <f t="shared" si="6"/>
        <v>3568311.451421</v>
      </c>
      <c r="N50" s="99"/>
    </row>
    <row r="51" ht="15" customHeight="1"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</row>
    <row r="52" ht="15" customHeight="1">
      <c r="B52" s="99"/>
      <c r="C52" s="115" t="s">
        <v>185</v>
      </c>
      <c r="D52" s="136"/>
      <c r="E52" s="115"/>
      <c r="F52" s="137">
        <f t="shared" si="7" ref="F52:G52">SUM(F35:F50)</f>
        <v>3467782.593777</v>
      </c>
      <c r="G52" s="137">
        <f t="shared" si="7"/>
        <v>3845805.558579</v>
      </c>
      <c r="H52" s="136"/>
      <c r="I52" s="136"/>
      <c r="J52" s="99"/>
      <c r="K52" s="99"/>
      <c r="L52" s="99"/>
      <c r="M52" s="99"/>
      <c r="N52" s="99"/>
    </row>
    <row r="53" ht="14.25" customHeight="1"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</row>
    <row r="54" ht="14.25" customHeight="1">
      <c r="B54" s="99"/>
      <c r="C54" s="102" t="s">
        <v>186</v>
      </c>
      <c r="D54" s="99"/>
      <c r="E54" s="99"/>
      <c r="F54" s="99"/>
      <c r="G54" s="99"/>
      <c r="H54" s="99"/>
      <c r="I54" s="99"/>
      <c r="J54" s="99"/>
    </row>
    <row r="55" ht="14.25" customHeight="1">
      <c r="B55" s="99"/>
      <c r="C55" s="138" t="s">
        <v>187</v>
      </c>
      <c r="D55" s="139"/>
      <c r="E55" s="139"/>
      <c r="F55" s="140">
        <f t="shared" si="8" ref="F55:G55">SUM(F35:F37)</f>
        <v>21758770</v>
      </c>
      <c r="G55" s="140">
        <f t="shared" si="8"/>
        <v>23098985</v>
      </c>
      <c r="H55" s="139"/>
      <c r="I55" s="139"/>
      <c r="J55" s="99"/>
    </row>
    <row r="56" ht="14.25" customHeight="1">
      <c r="B56" s="99"/>
      <c r="C56" s="138" t="s">
        <v>188</v>
      </c>
      <c r="D56" s="139"/>
      <c r="E56" s="139"/>
      <c r="F56" s="140">
        <f>SUM($Y$15:$Y$17)</f>
        <v>21758770</v>
      </c>
      <c r="G56" s="140">
        <f>SUM($Z$15:$Z$17)</f>
        <v>23098985</v>
      </c>
      <c r="H56" s="139"/>
      <c r="I56" s="139"/>
      <c r="J56" s="99"/>
    </row>
    <row r="57" ht="15" customHeight="1">
      <c r="B57" s="99"/>
      <c r="C57" s="141" t="s">
        <v>189</v>
      </c>
      <c r="D57" s="142"/>
      <c r="E57" s="142"/>
      <c r="F57" s="143">
        <f t="shared" si="9" ref="F57:G57">F55-F56</f>
        <v>0</v>
      </c>
      <c r="G57" s="143">
        <f t="shared" si="9"/>
        <v>0</v>
      </c>
      <c r="H57" s="144">
        <f t="shared" si="10" ref="H57:I57">F57/F56</f>
        <v>0</v>
      </c>
      <c r="I57" s="144">
        <f t="shared" si="10"/>
        <v>0</v>
      </c>
      <c r="J57" s="99"/>
    </row>
    <row r="58" ht="14.25" customHeight="1">
      <c r="B58" s="99"/>
      <c r="C58" s="99"/>
      <c r="D58" s="99"/>
      <c r="E58" s="99"/>
      <c r="F58" s="99"/>
      <c r="G58" s="99"/>
      <c r="H58" s="99"/>
      <c r="I58" s="99"/>
      <c r="J58" s="99"/>
    </row>
    <row r="59" ht="14.25" customHeight="1">
      <c r="B59" s="99"/>
      <c r="C59" s="99"/>
      <c r="D59" s="99"/>
      <c r="E59" s="99"/>
      <c r="F59" s="99"/>
      <c r="G59" s="99"/>
      <c r="H59" s="99"/>
      <c r="I59" s="99"/>
      <c r="J59" s="99"/>
    </row>
    <row r="60" ht="14.25" customHeight="1">
      <c r="B60" s="99"/>
      <c r="C60" s="99"/>
      <c r="D60" s="99"/>
      <c r="E60" s="99"/>
      <c r="F60" s="99"/>
      <c r="G60" s="99"/>
      <c r="H60" s="99"/>
      <c r="I60" s="99"/>
      <c r="J60" s="99"/>
    </row>
    <row r="61" ht="14.25" customHeight="1">
      <c r="B61" s="99"/>
      <c r="C61" s="99"/>
      <c r="D61" s="99"/>
      <c r="E61" s="99"/>
      <c r="F61" s="99"/>
      <c r="G61" s="99"/>
      <c r="H61" s="99"/>
      <c r="I61" s="99"/>
      <c r="J61" s="99"/>
    </row>
    <row r="62" ht="14.25" customHeight="1">
      <c r="B62" s="99"/>
      <c r="C62" s="99"/>
      <c r="D62" s="99"/>
      <c r="E62" s="99"/>
      <c r="F62" s="99"/>
      <c r="G62" s="99"/>
      <c r="H62" s="99"/>
      <c r="I62" s="99"/>
      <c r="J62" s="99"/>
    </row>
    <row r="63" ht="14.25" customHeight="1">
      <c r="B63" s="99"/>
      <c r="C63" s="99"/>
      <c r="D63" s="99"/>
      <c r="E63" s="99"/>
      <c r="F63" s="99"/>
      <c r="G63" s="99"/>
      <c r="H63" s="99"/>
      <c r="I63" s="99"/>
      <c r="J63" s="99"/>
    </row>
    <row r="64" ht="14.25" customHeight="1">
      <c r="B64" s="99"/>
      <c r="C64" s="99"/>
      <c r="D64" s="99"/>
      <c r="E64" s="99"/>
      <c r="F64" s="99"/>
      <c r="G64" s="99"/>
      <c r="H64" s="99"/>
      <c r="I64" s="99"/>
      <c r="J64" s="99"/>
    </row>
    <row r="65" ht="14.25" customHeight="1">
      <c r="B65" s="99"/>
      <c r="C65" s="99"/>
      <c r="D65" s="99"/>
      <c r="E65" s="99"/>
      <c r="F65" s="99"/>
      <c r="G65" s="99"/>
      <c r="H65" s="99"/>
      <c r="I65" s="99"/>
      <c r="J65" s="99"/>
    </row>
    <row r="66" ht="14.25" customHeight="1">
      <c r="B66" s="99"/>
      <c r="C66" s="99"/>
      <c r="D66" s="99"/>
      <c r="E66" s="99"/>
      <c r="F66" s="99"/>
      <c r="G66" s="99"/>
      <c r="H66" s="99"/>
      <c r="I66" s="99"/>
      <c r="J66" s="99"/>
    </row>
    <row r="67" ht="14.25" customHeight="1">
      <c r="B67" s="99"/>
      <c r="C67" s="99"/>
      <c r="D67" s="99"/>
      <c r="E67" s="99"/>
      <c r="F67" s="99"/>
      <c r="G67" s="99"/>
      <c r="H67" s="99"/>
      <c r="I67" s="99"/>
      <c r="J67" s="99"/>
    </row>
    <row r="68" ht="14.25" customHeight="1">
      <c r="B68" s="99"/>
      <c r="C68" s="99"/>
      <c r="D68" s="99"/>
      <c r="E68" s="99"/>
      <c r="F68" s="99"/>
      <c r="G68" s="99"/>
      <c r="H68" s="99"/>
      <c r="I68" s="99"/>
      <c r="J68" s="99"/>
    </row>
    <row r="69" ht="14.25" customHeight="1">
      <c r="B69" s="99"/>
      <c r="C69" s="99"/>
      <c r="D69" s="99"/>
      <c r="E69" s="99"/>
      <c r="F69" s="99"/>
      <c r="G69" s="99"/>
      <c r="H69" s="99"/>
      <c r="I69" s="99"/>
      <c r="J69" s="99"/>
    </row>
    <row r="70" ht="14.25" customHeight="1">
      <c r="B70" s="99"/>
      <c r="C70" s="99"/>
      <c r="D70" s="99"/>
      <c r="E70" s="99"/>
      <c r="F70" s="99"/>
      <c r="G70" s="99"/>
      <c r="H70" s="99"/>
      <c r="I70" s="99"/>
      <c r="J70" s="99"/>
    </row>
    <row r="71" ht="14.25" customHeight="1">
      <c r="B71" s="99"/>
      <c r="C71" s="99"/>
      <c r="D71" s="99"/>
      <c r="E71" s="99"/>
      <c r="F71" s="99"/>
      <c r="G71" s="99"/>
      <c r="H71" s="99"/>
      <c r="I71" s="99"/>
      <c r="J71" s="99"/>
    </row>
    <row r="72" ht="14.25" customHeight="1">
      <c r="B72" s="99"/>
      <c r="C72" s="99"/>
      <c r="D72" s="99"/>
      <c r="E72" s="99"/>
      <c r="F72" s="99"/>
      <c r="G72" s="99"/>
      <c r="H72" s="99"/>
      <c r="I72" s="99"/>
      <c r="J72" s="99"/>
    </row>
    <row r="73" ht="14.25" customHeight="1">
      <c r="B73" s="99"/>
      <c r="C73" s="99"/>
      <c r="D73" s="99"/>
      <c r="E73" s="99"/>
      <c r="F73" s="99"/>
      <c r="G73" s="99"/>
      <c r="H73" s="99"/>
      <c r="I73" s="99"/>
      <c r="J73" s="99"/>
    </row>
    <row r="74" ht="14.25" customHeight="1">
      <c r="B74" s="99"/>
      <c r="C74" s="99"/>
      <c r="D74" s="99"/>
      <c r="E74" s="99"/>
      <c r="F74" s="99"/>
      <c r="G74" s="99"/>
      <c r="H74" s="99"/>
      <c r="I74" s="99"/>
      <c r="J74" s="99"/>
    </row>
    <row r="75" ht="14.25" customHeight="1">
      <c r="B75" s="99"/>
      <c r="C75" s="99"/>
      <c r="D75" s="99"/>
      <c r="E75" s="99"/>
      <c r="F75" s="99"/>
      <c r="G75" s="99"/>
      <c r="H75" s="99"/>
      <c r="I75" s="99"/>
      <c r="J75" s="99"/>
    </row>
    <row r="76" ht="14.25" customHeight="1">
      <c r="B76" s="99"/>
      <c r="C76" s="99"/>
      <c r="D76" s="99"/>
      <c r="E76" s="99"/>
      <c r="F76" s="99"/>
      <c r="G76" s="99"/>
      <c r="H76" s="99"/>
      <c r="I76" s="99"/>
      <c r="J76" s="99"/>
    </row>
    <row r="77" ht="14.25" customHeight="1">
      <c r="B77" s="99"/>
      <c r="C77" s="99"/>
      <c r="D77" s="99"/>
      <c r="E77" s="99"/>
      <c r="F77" s="99"/>
      <c r="G77" s="99"/>
      <c r="H77" s="99"/>
      <c r="I77" s="99"/>
      <c r="J77" s="99"/>
    </row>
    <row r="78" ht="14.25" customHeight="1">
      <c r="B78" s="99"/>
      <c r="C78" s="99"/>
      <c r="D78" s="99"/>
      <c r="E78" s="99"/>
      <c r="F78" s="99"/>
      <c r="G78" s="99"/>
      <c r="H78" s="99"/>
      <c r="I78" s="99"/>
      <c r="J78" s="99"/>
    </row>
    <row r="79" ht="14.25" customHeight="1">
      <c r="B79" s="99"/>
      <c r="C79" s="99"/>
      <c r="D79" s="99"/>
      <c r="E79" s="99"/>
      <c r="F79" s="99"/>
      <c r="G79" s="99"/>
      <c r="H79" s="99"/>
      <c r="I79" s="99"/>
      <c r="J79" s="99"/>
    </row>
    <row r="80" ht="14.25" customHeight="1">
      <c r="B80" s="99"/>
      <c r="C80" s="99"/>
      <c r="D80" s="99"/>
      <c r="E80" s="99"/>
      <c r="F80" s="99"/>
      <c r="G80" s="99"/>
      <c r="H80" s="99"/>
      <c r="I80" s="99"/>
      <c r="J80" s="99"/>
    </row>
    <row r="81" ht="14.25" customHeight="1">
      <c r="B81" s="99"/>
      <c r="C81" s="99"/>
      <c r="D81" s="99"/>
      <c r="E81" s="99"/>
      <c r="F81" s="99"/>
      <c r="G81" s="99"/>
      <c r="H81" s="99"/>
      <c r="I81" s="99"/>
      <c r="J81" s="99"/>
    </row>
    <row r="82" ht="14.25" customHeight="1">
      <c r="B82" s="99"/>
      <c r="C82" s="99"/>
      <c r="D82" s="99"/>
      <c r="E82" s="99"/>
      <c r="F82" s="99"/>
      <c r="G82" s="99"/>
      <c r="H82" s="99"/>
      <c r="I82" s="99"/>
      <c r="J82" s="99"/>
    </row>
    <row r="83" ht="14.25" customHeight="1">
      <c r="B83" s="99"/>
      <c r="C83" s="99"/>
      <c r="D83" s="99"/>
      <c r="E83" s="99"/>
      <c r="F83" s="99"/>
      <c r="G83" s="99"/>
      <c r="H83" s="99"/>
      <c r="I83" s="99"/>
      <c r="J83" s="99"/>
    </row>
    <row r="84" ht="14.25" customHeight="1">
      <c r="B84" s="99"/>
      <c r="C84" s="99"/>
      <c r="D84" s="99"/>
      <c r="E84" s="99"/>
      <c r="F84" s="99"/>
      <c r="G84" s="99"/>
      <c r="H84" s="99"/>
      <c r="I84" s="99"/>
      <c r="J84" s="99"/>
    </row>
    <row r="85" ht="14.25" customHeight="1">
      <c r="B85" s="99"/>
      <c r="C85" s="99"/>
      <c r="D85" s="99"/>
      <c r="E85" s="99"/>
      <c r="F85" s="99"/>
      <c r="G85" s="99"/>
      <c r="H85" s="99"/>
      <c r="I85" s="99"/>
      <c r="J85" s="99"/>
    </row>
    <row r="86" ht="14.25" customHeight="1">
      <c r="B86" s="99"/>
      <c r="C86" s="99"/>
      <c r="D86" s="99"/>
      <c r="E86" s="99"/>
      <c r="F86" s="99"/>
      <c r="G86" s="99"/>
      <c r="H86" s="99"/>
      <c r="I86" s="99"/>
      <c r="J86" s="99"/>
    </row>
    <row r="87" ht="14.25" customHeight="1">
      <c r="B87" s="99"/>
      <c r="C87" s="99"/>
      <c r="D87" s="99"/>
      <c r="E87" s="99"/>
      <c r="F87" s="99"/>
      <c r="G87" s="99"/>
      <c r="H87" s="99"/>
      <c r="I87" s="99"/>
      <c r="J87" s="99"/>
    </row>
    <row r="88" ht="14.25" customHeight="1">
      <c r="B88" s="99"/>
      <c r="C88" s="99"/>
      <c r="D88" s="99"/>
      <c r="E88" s="99"/>
      <c r="F88" s="99"/>
      <c r="G88" s="99"/>
      <c r="H88" s="99"/>
      <c r="I88" s="99"/>
      <c r="J88" s="99"/>
    </row>
    <row r="89" ht="14.25" customHeight="1">
      <c r="B89" s="99"/>
      <c r="C89" s="99"/>
      <c r="D89" s="99"/>
      <c r="E89" s="99"/>
      <c r="F89" s="99"/>
      <c r="G89" s="99"/>
      <c r="H89" s="99"/>
      <c r="I89" s="99"/>
      <c r="J89" s="99"/>
    </row>
    <row r="90" ht="14.25" customHeight="1">
      <c r="B90" s="99"/>
      <c r="C90" s="99"/>
      <c r="D90" s="99"/>
      <c r="E90" s="99"/>
      <c r="F90" s="99"/>
      <c r="G90" s="99"/>
      <c r="H90" s="99"/>
      <c r="I90" s="99"/>
      <c r="J90" s="99"/>
    </row>
    <row r="91" ht="14.25" customHeight="1">
      <c r="B91" s="99"/>
      <c r="C91" s="99"/>
      <c r="D91" s="99"/>
      <c r="E91" s="99"/>
      <c r="F91" s="99"/>
      <c r="G91" s="99"/>
      <c r="H91" s="99"/>
      <c r="I91" s="99"/>
      <c r="J91" s="99"/>
    </row>
    <row r="92" ht="14.25" customHeight="1">
      <c r="B92" s="99"/>
      <c r="C92" s="99"/>
      <c r="D92" s="99"/>
      <c r="E92" s="99"/>
      <c r="F92" s="99"/>
      <c r="G92" s="99"/>
      <c r="H92" s="99"/>
      <c r="I92" s="99"/>
      <c r="J92" s="99"/>
    </row>
    <row r="93" ht="14.25" customHeight="1">
      <c r="B93" s="99"/>
      <c r="C93" s="99"/>
      <c r="D93" s="99"/>
      <c r="E93" s="99"/>
      <c r="F93" s="99"/>
      <c r="G93" s="99"/>
      <c r="H93" s="99"/>
      <c r="I93" s="99"/>
      <c r="J93" s="99"/>
    </row>
    <row r="94" ht="14.25" customHeight="1">
      <c r="B94" s="99"/>
      <c r="C94" s="99"/>
      <c r="D94" s="99"/>
      <c r="E94" s="99"/>
      <c r="F94" s="99"/>
      <c r="G94" s="99"/>
      <c r="H94" s="99"/>
      <c r="I94" s="99"/>
      <c r="J94" s="99"/>
    </row>
    <row r="95" ht="14.25" customHeight="1">
      <c r="B95" s="99"/>
      <c r="C95" s="99"/>
      <c r="D95" s="99"/>
      <c r="E95" s="99"/>
      <c r="F95" s="99"/>
      <c r="G95" s="99"/>
      <c r="H95" s="99"/>
      <c r="I95" s="99"/>
      <c r="J95" s="99"/>
    </row>
    <row r="96" ht="14.25" customHeight="1">
      <c r="B96" s="99"/>
      <c r="C96" s="99"/>
      <c r="D96" s="99"/>
      <c r="E96" s="99"/>
      <c r="F96" s="99"/>
      <c r="G96" s="99"/>
      <c r="H96" s="99"/>
      <c r="I96" s="99"/>
      <c r="J96" s="99"/>
    </row>
    <row r="97" ht="14.25" customHeight="1">
      <c r="B97" s="99"/>
      <c r="C97" s="99"/>
      <c r="D97" s="99"/>
      <c r="E97" s="99"/>
      <c r="F97" s="99"/>
      <c r="G97" s="99"/>
      <c r="H97" s="99"/>
      <c r="I97" s="99"/>
      <c r="J97" s="99"/>
    </row>
    <row r="98" ht="14.25" customHeight="1">
      <c r="B98" s="99"/>
      <c r="C98" s="99"/>
      <c r="D98" s="99"/>
      <c r="E98" s="99"/>
      <c r="F98" s="99"/>
      <c r="G98" s="99"/>
      <c r="H98" s="99"/>
      <c r="I98" s="99"/>
      <c r="J98" s="99"/>
    </row>
    <row r="99" ht="14.25" customHeight="1">
      <c r="B99" s="99"/>
      <c r="C99" s="99"/>
      <c r="D99" s="99"/>
      <c r="E99" s="99"/>
      <c r="F99" s="99"/>
      <c r="G99" s="99"/>
      <c r="H99" s="99"/>
      <c r="I99" s="99"/>
      <c r="J99" s="99"/>
    </row>
    <row r="100" ht="14.25" customHeight="1">
      <c r="B100" s="99"/>
      <c r="C100" s="99"/>
      <c r="D100" s="99"/>
      <c r="E100" s="99"/>
      <c r="F100" s="99"/>
      <c r="G100" s="99"/>
      <c r="H100" s="99"/>
      <c r="I100" s="99"/>
      <c r="J100" s="99"/>
    </row>
    <row r="101" ht="14.25" customHeight="1">
      <c r="B101" s="99"/>
      <c r="C101" s="99"/>
      <c r="D101" s="99"/>
      <c r="E101" s="99"/>
      <c r="F101" s="99"/>
      <c r="G101" s="99"/>
      <c r="H101" s="99"/>
      <c r="I101" s="99"/>
      <c r="J101" s="99"/>
    </row>
    <row r="102" ht="14.25" customHeight="1">
      <c r="B102" s="99"/>
      <c r="C102" s="99"/>
      <c r="D102" s="99"/>
      <c r="E102" s="99"/>
      <c r="F102" s="99"/>
      <c r="G102" s="99"/>
      <c r="H102" s="99"/>
      <c r="I102" s="99"/>
      <c r="J102" s="99"/>
    </row>
    <row r="103" ht="14.25" customHeight="1">
      <c r="B103" s="99"/>
      <c r="C103" s="99"/>
      <c r="D103" s="99"/>
      <c r="E103" s="99"/>
      <c r="F103" s="99"/>
      <c r="G103" s="99"/>
      <c r="H103" s="99"/>
      <c r="I103" s="99"/>
      <c r="J103" s="99"/>
    </row>
    <row r="104" ht="14.25" customHeight="1">
      <c r="B104" s="99"/>
      <c r="C104" s="99"/>
      <c r="D104" s="99"/>
      <c r="E104" s="99"/>
      <c r="F104" s="99"/>
      <c r="G104" s="99"/>
      <c r="H104" s="99"/>
      <c r="I104" s="99"/>
      <c r="J104" s="99"/>
    </row>
    <row r="105" ht="14.25" customHeight="1">
      <c r="B105" s="99"/>
      <c r="C105" s="99"/>
      <c r="D105" s="99"/>
      <c r="E105" s="99"/>
      <c r="F105" s="99"/>
      <c r="G105" s="99"/>
      <c r="H105" s="99"/>
      <c r="I105" s="99"/>
      <c r="J105" s="99"/>
    </row>
    <row r="106" ht="14.25" customHeight="1">
      <c r="B106" s="99"/>
      <c r="C106" s="99"/>
      <c r="D106" s="99"/>
      <c r="E106" s="99"/>
      <c r="F106" s="99"/>
      <c r="G106" s="99"/>
      <c r="H106" s="99"/>
      <c r="I106" s="99"/>
      <c r="J106" s="99"/>
    </row>
    <row r="107" ht="14.25" customHeight="1">
      <c r="B107" s="99"/>
      <c r="C107" s="99"/>
      <c r="D107" s="99"/>
      <c r="E107" s="99"/>
      <c r="F107" s="99"/>
      <c r="G107" s="99"/>
      <c r="H107" s="99"/>
      <c r="I107" s="99"/>
      <c r="J107" s="99"/>
    </row>
    <row r="108" ht="14.25" customHeight="1">
      <c r="B108" s="99"/>
      <c r="C108" s="99"/>
      <c r="D108" s="99"/>
      <c r="E108" s="99"/>
      <c r="F108" s="99"/>
      <c r="G108" s="99"/>
      <c r="H108" s="99"/>
      <c r="I108" s="99"/>
      <c r="J108" s="99"/>
    </row>
    <row r="109" ht="14.25" customHeight="1">
      <c r="B109" s="99"/>
      <c r="C109" s="99"/>
      <c r="D109" s="99"/>
      <c r="E109" s="99"/>
      <c r="F109" s="99"/>
      <c r="G109" s="99"/>
      <c r="H109" s="99"/>
      <c r="I109" s="99"/>
      <c r="J109" s="99"/>
    </row>
    <row r="110" ht="14.25" customHeight="1">
      <c r="B110" s="99"/>
      <c r="C110" s="99"/>
      <c r="D110" s="99"/>
      <c r="E110" s="99"/>
      <c r="F110" s="99"/>
      <c r="G110" s="99"/>
      <c r="H110" s="99"/>
      <c r="I110" s="99"/>
      <c r="J110" s="99"/>
    </row>
    <row r="111" ht="14.25" customHeight="1">
      <c r="B111" s="99"/>
      <c r="C111" s="99"/>
      <c r="D111" s="99"/>
      <c r="E111" s="99"/>
      <c r="F111" s="99"/>
      <c r="G111" s="99"/>
      <c r="H111" s="99"/>
      <c r="I111" s="99"/>
      <c r="J111" s="99"/>
    </row>
    <row r="112" ht="14.25" customHeight="1">
      <c r="B112" s="99"/>
      <c r="C112" s="99"/>
      <c r="D112" s="99"/>
      <c r="E112" s="99"/>
      <c r="F112" s="99"/>
      <c r="G112" s="99"/>
      <c r="H112" s="99"/>
      <c r="I112" s="99"/>
      <c r="J112" s="99"/>
    </row>
    <row r="113" ht="14.25" customHeight="1">
      <c r="B113" s="99"/>
      <c r="C113" s="99"/>
      <c r="D113" s="99"/>
      <c r="E113" s="99"/>
      <c r="F113" s="99"/>
      <c r="G113" s="99"/>
      <c r="H113" s="99"/>
      <c r="I113" s="99"/>
      <c r="J113" s="99"/>
    </row>
    <row r="114" ht="14.25" customHeight="1">
      <c r="B114" s="99"/>
      <c r="C114" s="99"/>
      <c r="D114" s="99"/>
      <c r="E114" s="99"/>
      <c r="F114" s="99"/>
      <c r="G114" s="99"/>
      <c r="H114" s="99"/>
      <c r="I114" s="99"/>
      <c r="J114" s="99"/>
    </row>
    <row r="115" ht="14.25" customHeight="1">
      <c r="B115" s="99"/>
      <c r="C115" s="99"/>
      <c r="D115" s="99"/>
      <c r="E115" s="99"/>
      <c r="F115" s="99"/>
      <c r="G115" s="99"/>
      <c r="H115" s="99"/>
      <c r="I115" s="99"/>
      <c r="J115" s="99"/>
    </row>
    <row r="116" ht="14.25" customHeight="1">
      <c r="B116" s="99"/>
      <c r="C116" s="99"/>
      <c r="D116" s="99"/>
      <c r="E116" s="99"/>
      <c r="F116" s="99"/>
      <c r="G116" s="99"/>
      <c r="H116" s="99"/>
      <c r="I116" s="99"/>
      <c r="J116" s="99"/>
    </row>
    <row r="117" ht="14.25" customHeight="1">
      <c r="B117" s="99"/>
      <c r="C117" s="99"/>
      <c r="D117" s="99"/>
      <c r="E117" s="99"/>
      <c r="F117" s="99"/>
      <c r="G117" s="99"/>
      <c r="H117" s="99"/>
      <c r="I117" s="99"/>
      <c r="J117" s="99"/>
    </row>
    <row r="118" ht="14.25" customHeight="1">
      <c r="B118" s="99"/>
      <c r="C118" s="99"/>
      <c r="D118" s="99"/>
      <c r="E118" s="99"/>
      <c r="F118" s="99"/>
      <c r="G118" s="99"/>
      <c r="H118" s="99"/>
      <c r="I118" s="99"/>
      <c r="J118" s="99"/>
    </row>
    <row r="119" ht="14.25" customHeight="1">
      <c r="B119" s="99"/>
      <c r="C119" s="99"/>
      <c r="D119" s="99"/>
      <c r="E119" s="99"/>
      <c r="F119" s="99"/>
      <c r="G119" s="99"/>
      <c r="H119" s="99"/>
      <c r="I119" s="99"/>
      <c r="J119" s="99"/>
    </row>
    <row r="120" ht="14.25" customHeight="1">
      <c r="B120" s="99"/>
      <c r="C120" s="99"/>
      <c r="D120" s="99"/>
      <c r="E120" s="99"/>
      <c r="F120" s="99"/>
      <c r="G120" s="99"/>
      <c r="H120" s="99"/>
      <c r="I120" s="99"/>
      <c r="J120" s="99"/>
    </row>
    <row r="121" ht="14.25" customHeight="1">
      <c r="B121" s="99"/>
      <c r="C121" s="99"/>
      <c r="D121" s="99"/>
      <c r="E121" s="99"/>
      <c r="F121" s="99"/>
      <c r="G121" s="99"/>
      <c r="H121" s="99"/>
      <c r="I121" s="99"/>
      <c r="J121" s="99"/>
    </row>
    <row r="122" ht="14.25" customHeight="1">
      <c r="B122" s="99"/>
      <c r="C122" s="99"/>
      <c r="D122" s="99"/>
      <c r="E122" s="99"/>
      <c r="F122" s="99"/>
      <c r="G122" s="99"/>
      <c r="H122" s="99"/>
      <c r="I122" s="99"/>
      <c r="J122" s="99"/>
    </row>
    <row r="123" ht="14.25" customHeight="1">
      <c r="B123" s="99"/>
      <c r="C123" s="99"/>
      <c r="D123" s="99"/>
      <c r="E123" s="99"/>
      <c r="F123" s="99"/>
      <c r="G123" s="99"/>
      <c r="H123" s="99"/>
      <c r="I123" s="99"/>
      <c r="J123" s="99"/>
    </row>
    <row r="124" ht="14.25" customHeight="1">
      <c r="B124" s="99"/>
      <c r="C124" s="99"/>
      <c r="D124" s="99"/>
      <c r="E124" s="99"/>
      <c r="F124" s="99"/>
      <c r="G124" s="99"/>
      <c r="H124" s="99"/>
      <c r="I124" s="99"/>
      <c r="J124" s="99"/>
    </row>
    <row r="125" ht="14.25" customHeight="1">
      <c r="B125" s="99"/>
      <c r="C125" s="99"/>
      <c r="D125" s="99"/>
      <c r="E125" s="99"/>
      <c r="F125" s="99"/>
      <c r="G125" s="99"/>
      <c r="H125" s="99"/>
      <c r="I125" s="99"/>
      <c r="J125" s="99"/>
    </row>
    <row r="126" ht="14.25" customHeight="1">
      <c r="B126" s="99"/>
      <c r="C126" s="99"/>
      <c r="D126" s="99"/>
      <c r="E126" s="99"/>
      <c r="F126" s="99"/>
      <c r="G126" s="99"/>
      <c r="H126" s="99"/>
      <c r="I126" s="99"/>
      <c r="J126" s="99"/>
    </row>
    <row r="127" ht="14.25" customHeight="1">
      <c r="B127" s="99"/>
      <c r="C127" s="99"/>
      <c r="D127" s="99"/>
      <c r="E127" s="99"/>
      <c r="F127" s="99"/>
      <c r="G127" s="99"/>
      <c r="H127" s="99"/>
      <c r="I127" s="99"/>
      <c r="J127" s="99"/>
    </row>
    <row r="128" ht="14.25" customHeight="1">
      <c r="B128" s="99"/>
      <c r="C128" s="99"/>
      <c r="D128" s="99"/>
      <c r="E128" s="99"/>
      <c r="F128" s="99"/>
      <c r="G128" s="99"/>
      <c r="H128" s="99"/>
      <c r="I128" s="99"/>
      <c r="J128" s="99"/>
    </row>
    <row r="129" ht="14.25" customHeight="1">
      <c r="B129" s="99"/>
      <c r="C129" s="99"/>
      <c r="D129" s="99"/>
      <c r="E129" s="99"/>
      <c r="F129" s="99"/>
      <c r="G129" s="99"/>
      <c r="H129" s="99"/>
      <c r="I129" s="99"/>
      <c r="J129" s="99"/>
    </row>
    <row r="130" ht="14.25" customHeight="1">
      <c r="B130" s="99"/>
      <c r="C130" s="99"/>
      <c r="D130" s="99"/>
      <c r="E130" s="99"/>
      <c r="F130" s="99"/>
      <c r="G130" s="99"/>
      <c r="H130" s="99"/>
      <c r="I130" s="99"/>
      <c r="J130" s="99"/>
    </row>
    <row r="131" ht="14.25" customHeight="1">
      <c r="B131" s="99"/>
      <c r="C131" s="99"/>
      <c r="D131" s="99"/>
      <c r="E131" s="99"/>
      <c r="F131" s="99"/>
      <c r="G131" s="99"/>
      <c r="H131" s="99"/>
      <c r="I131" s="99"/>
      <c r="J131" s="99"/>
    </row>
    <row r="132" ht="14.25" customHeight="1">
      <c r="B132" s="99"/>
      <c r="C132" s="99"/>
      <c r="D132" s="99"/>
      <c r="E132" s="99"/>
      <c r="F132" s="99"/>
      <c r="G132" s="99"/>
      <c r="H132" s="99"/>
      <c r="I132" s="99"/>
      <c r="J132" s="99"/>
    </row>
    <row r="133" ht="14.25" customHeight="1">
      <c r="B133" s="99"/>
      <c r="C133" s="99"/>
      <c r="D133" s="99"/>
      <c r="E133" s="99"/>
      <c r="F133" s="99"/>
      <c r="G133" s="99"/>
      <c r="H133" s="99"/>
      <c r="I133" s="99"/>
      <c r="J133" s="99"/>
    </row>
    <row r="134" ht="14.25" customHeight="1">
      <c r="B134" s="99"/>
      <c r="C134" s="99"/>
      <c r="D134" s="99"/>
      <c r="E134" s="99"/>
      <c r="F134" s="99"/>
      <c r="G134" s="99"/>
      <c r="H134" s="99"/>
      <c r="I134" s="99"/>
      <c r="J134" s="99"/>
    </row>
    <row r="135" ht="14.25" customHeight="1">
      <c r="B135" s="99"/>
      <c r="C135" s="99"/>
      <c r="D135" s="99"/>
      <c r="E135" s="99"/>
      <c r="F135" s="99"/>
      <c r="G135" s="99"/>
      <c r="H135" s="99"/>
      <c r="I135" s="99"/>
      <c r="J135" s="99"/>
    </row>
    <row r="136" ht="14.25" customHeight="1">
      <c r="B136" s="99"/>
      <c r="C136" s="99"/>
      <c r="D136" s="99"/>
      <c r="E136" s="99"/>
      <c r="F136" s="99"/>
      <c r="G136" s="99"/>
      <c r="H136" s="99"/>
      <c r="I136" s="99"/>
      <c r="J136" s="99"/>
    </row>
    <row r="137" ht="14.25" customHeight="1">
      <c r="B137" s="99"/>
      <c r="C137" s="99"/>
      <c r="D137" s="99"/>
      <c r="E137" s="99"/>
      <c r="F137" s="99"/>
      <c r="G137" s="99"/>
      <c r="H137" s="99"/>
      <c r="I137" s="99"/>
      <c r="J137" s="99"/>
    </row>
    <row r="138" ht="14.25" customHeight="1">
      <c r="B138" s="99"/>
      <c r="C138" s="99"/>
      <c r="D138" s="99"/>
      <c r="E138" s="99"/>
      <c r="F138" s="99"/>
      <c r="G138" s="99"/>
      <c r="H138" s="99"/>
      <c r="I138" s="99"/>
      <c r="J138" s="99"/>
    </row>
    <row r="139" ht="14.25" customHeight="1">
      <c r="B139" s="99"/>
      <c r="C139" s="99"/>
      <c r="D139" s="99"/>
      <c r="E139" s="99"/>
      <c r="F139" s="99"/>
      <c r="G139" s="99"/>
      <c r="H139" s="99"/>
      <c r="I139" s="99"/>
      <c r="J139" s="99"/>
    </row>
    <row r="140" ht="14.25" customHeight="1">
      <c r="B140" s="99"/>
      <c r="C140" s="99"/>
      <c r="D140" s="99"/>
      <c r="E140" s="99"/>
      <c r="F140" s="99"/>
      <c r="G140" s="99"/>
      <c r="H140" s="99"/>
      <c r="I140" s="99"/>
      <c r="J140" s="99"/>
    </row>
    <row r="141" ht="14.25" customHeight="1">
      <c r="B141" s="99"/>
      <c r="C141" s="99"/>
      <c r="D141" s="99"/>
      <c r="E141" s="99"/>
      <c r="F141" s="99"/>
      <c r="G141" s="99"/>
      <c r="H141" s="99"/>
      <c r="I141" s="99"/>
      <c r="J141" s="99"/>
    </row>
    <row r="142" ht="14.25" customHeight="1">
      <c r="B142" s="99"/>
      <c r="C142" s="99"/>
      <c r="D142" s="99"/>
      <c r="E142" s="99"/>
      <c r="F142" s="99"/>
      <c r="G142" s="99"/>
      <c r="H142" s="99"/>
      <c r="I142" s="99"/>
      <c r="J142" s="99"/>
    </row>
    <row r="143" ht="14.25" customHeight="1">
      <c r="B143" s="99"/>
      <c r="C143" s="99"/>
      <c r="D143" s="99"/>
      <c r="E143" s="99"/>
      <c r="F143" s="99"/>
      <c r="G143" s="99"/>
      <c r="H143" s="99"/>
      <c r="I143" s="99"/>
      <c r="J143" s="99"/>
    </row>
    <row r="144" ht="14.25" customHeight="1">
      <c r="B144" s="99"/>
      <c r="C144" s="99"/>
      <c r="D144" s="99"/>
      <c r="E144" s="99"/>
      <c r="F144" s="99"/>
      <c r="G144" s="99"/>
      <c r="H144" s="99"/>
      <c r="I144" s="99"/>
      <c r="J144" s="99"/>
    </row>
    <row r="145" ht="14.25" customHeight="1">
      <c r="B145" s="99"/>
      <c r="C145" s="99"/>
      <c r="D145" s="99"/>
      <c r="E145" s="99"/>
      <c r="F145" s="99"/>
      <c r="G145" s="99"/>
      <c r="H145" s="99"/>
      <c r="I145" s="99"/>
      <c r="J145" s="99"/>
    </row>
    <row r="146" ht="14.25" customHeight="1">
      <c r="B146" s="99"/>
      <c r="C146" s="99"/>
      <c r="D146" s="99"/>
      <c r="E146" s="99"/>
      <c r="F146" s="99"/>
      <c r="G146" s="99"/>
      <c r="H146" s="99"/>
      <c r="I146" s="99"/>
      <c r="J146" s="99"/>
    </row>
    <row r="147" ht="14.25" customHeight="1">
      <c r="B147" s="99"/>
      <c r="C147" s="99"/>
      <c r="D147" s="99"/>
      <c r="E147" s="99"/>
      <c r="F147" s="99"/>
      <c r="G147" s="99"/>
      <c r="H147" s="99"/>
      <c r="I147" s="99"/>
      <c r="J147" s="99"/>
    </row>
    <row r="148" ht="14.25" customHeight="1">
      <c r="B148" s="99"/>
      <c r="C148" s="99"/>
      <c r="D148" s="99"/>
      <c r="E148" s="99"/>
      <c r="F148" s="99"/>
      <c r="G148" s="99"/>
      <c r="H148" s="99"/>
      <c r="I148" s="99"/>
      <c r="J148" s="99"/>
    </row>
    <row r="149" ht="14.25" customHeight="1">
      <c r="B149" s="99"/>
      <c r="C149" s="99"/>
      <c r="D149" s="99"/>
      <c r="E149" s="99"/>
      <c r="F149" s="99"/>
      <c r="G149" s="99"/>
      <c r="H149" s="99"/>
      <c r="I149" s="99"/>
      <c r="J149" s="99"/>
    </row>
    <row r="150" ht="14.25" customHeight="1">
      <c r="B150" s="99"/>
      <c r="C150" s="99"/>
      <c r="D150" s="99"/>
      <c r="E150" s="99"/>
      <c r="F150" s="99"/>
      <c r="G150" s="99"/>
      <c r="H150" s="99"/>
      <c r="I150" s="99"/>
      <c r="J150" s="99"/>
    </row>
    <row r="151" ht="14.25" customHeight="1">
      <c r="B151" s="99"/>
      <c r="C151" s="99"/>
      <c r="D151" s="99"/>
      <c r="E151" s="99"/>
      <c r="F151" s="99"/>
      <c r="G151" s="99"/>
      <c r="H151" s="99"/>
      <c r="I151" s="99"/>
      <c r="J151" s="99"/>
    </row>
    <row r="152" ht="14.25" customHeight="1">
      <c r="B152" s="99"/>
      <c r="C152" s="99"/>
      <c r="D152" s="99"/>
      <c r="E152" s="99"/>
      <c r="F152" s="99"/>
      <c r="G152" s="99"/>
      <c r="H152" s="99"/>
      <c r="I152" s="99"/>
      <c r="J152" s="99"/>
    </row>
    <row r="153" ht="14.25" customHeight="1">
      <c r="B153" s="99"/>
      <c r="C153" s="99"/>
      <c r="D153" s="99"/>
      <c r="E153" s="99"/>
      <c r="F153" s="99"/>
      <c r="G153" s="99"/>
      <c r="H153" s="99"/>
      <c r="I153" s="99"/>
      <c r="J153" s="99"/>
    </row>
    <row r="154" ht="14.25" customHeight="1">
      <c r="B154" s="99"/>
      <c r="C154" s="99"/>
      <c r="D154" s="99"/>
      <c r="E154" s="99"/>
      <c r="F154" s="99"/>
      <c r="G154" s="99"/>
      <c r="H154" s="99"/>
      <c r="I154" s="99"/>
      <c r="J154" s="99"/>
    </row>
    <row r="155" ht="14.25" customHeight="1">
      <c r="B155" s="99"/>
      <c r="C155" s="99"/>
      <c r="D155" s="99"/>
      <c r="E155" s="99"/>
      <c r="F155" s="99"/>
      <c r="G155" s="99"/>
      <c r="H155" s="99"/>
      <c r="I155" s="99"/>
      <c r="J155" s="99"/>
    </row>
    <row r="156" ht="14.25" customHeight="1">
      <c r="B156" s="99"/>
      <c r="C156" s="99"/>
      <c r="D156" s="99"/>
      <c r="E156" s="99"/>
      <c r="F156" s="99"/>
      <c r="G156" s="99"/>
      <c r="H156" s="99"/>
      <c r="I156" s="99"/>
      <c r="J156" s="99"/>
    </row>
    <row r="157" ht="14.25" customHeight="1">
      <c r="B157" s="99"/>
      <c r="C157" s="99"/>
      <c r="D157" s="99"/>
      <c r="E157" s="99"/>
      <c r="F157" s="99"/>
      <c r="G157" s="99"/>
      <c r="H157" s="99"/>
      <c r="I157" s="99"/>
      <c r="J157" s="99"/>
    </row>
    <row r="158" ht="14.25" customHeight="1">
      <c r="B158" s="99"/>
      <c r="C158" s="99"/>
      <c r="D158" s="99"/>
      <c r="E158" s="99"/>
      <c r="F158" s="99"/>
      <c r="G158" s="99"/>
      <c r="H158" s="99"/>
      <c r="I158" s="99"/>
      <c r="J158" s="99"/>
    </row>
    <row r="159" ht="14.25" customHeight="1">
      <c r="B159" s="99"/>
      <c r="C159" s="99"/>
      <c r="D159" s="99"/>
      <c r="E159" s="99"/>
      <c r="F159" s="99"/>
      <c r="G159" s="99"/>
      <c r="H159" s="99"/>
      <c r="I159" s="99"/>
      <c r="J159" s="99"/>
    </row>
    <row r="160" ht="14.25" customHeight="1">
      <c r="B160" s="99"/>
      <c r="C160" s="99"/>
      <c r="D160" s="99"/>
      <c r="E160" s="99"/>
      <c r="F160" s="99"/>
      <c r="G160" s="99"/>
      <c r="H160" s="99"/>
      <c r="I160" s="99"/>
      <c r="J160" s="99"/>
    </row>
    <row r="161" ht="14.25" customHeight="1">
      <c r="B161" s="99"/>
      <c r="C161" s="99"/>
      <c r="D161" s="99"/>
      <c r="E161" s="99"/>
      <c r="F161" s="99"/>
      <c r="G161" s="99"/>
      <c r="H161" s="99"/>
      <c r="I161" s="99"/>
      <c r="J161" s="99"/>
    </row>
    <row r="162" ht="14.25" customHeight="1">
      <c r="B162" s="99"/>
      <c r="C162" s="99"/>
      <c r="D162" s="99"/>
      <c r="E162" s="99"/>
      <c r="F162" s="99"/>
      <c r="G162" s="99"/>
      <c r="H162" s="99"/>
      <c r="I162" s="99"/>
      <c r="J162" s="99"/>
    </row>
    <row r="163" ht="14.25" customHeight="1">
      <c r="B163" s="99"/>
      <c r="C163" s="99"/>
      <c r="D163" s="99"/>
      <c r="E163" s="99"/>
      <c r="F163" s="99"/>
      <c r="G163" s="99"/>
      <c r="H163" s="99"/>
      <c r="I163" s="99"/>
      <c r="J163" s="99"/>
    </row>
    <row r="164" ht="14.25" customHeight="1">
      <c r="B164" s="99"/>
      <c r="C164" s="99"/>
      <c r="D164" s="99"/>
      <c r="E164" s="99"/>
      <c r="F164" s="99"/>
      <c r="G164" s="99"/>
      <c r="H164" s="99"/>
      <c r="I164" s="99"/>
      <c r="J164" s="99"/>
    </row>
    <row r="165" ht="14.25" customHeight="1">
      <c r="B165" s="99"/>
      <c r="C165" s="99"/>
      <c r="D165" s="99"/>
      <c r="E165" s="99"/>
      <c r="F165" s="99"/>
      <c r="G165" s="99"/>
      <c r="H165" s="99"/>
      <c r="I165" s="99"/>
      <c r="J165" s="99"/>
    </row>
    <row r="166" ht="14.25" customHeight="1">
      <c r="B166" s="99"/>
      <c r="C166" s="99"/>
      <c r="D166" s="99"/>
      <c r="E166" s="99"/>
      <c r="F166" s="99"/>
      <c r="G166" s="99"/>
      <c r="H166" s="99"/>
      <c r="I166" s="99"/>
      <c r="J166" s="99"/>
    </row>
    <row r="167" ht="14.25" customHeight="1">
      <c r="B167" s="99"/>
      <c r="C167" s="99"/>
      <c r="D167" s="99"/>
      <c r="E167" s="99"/>
      <c r="F167" s="99"/>
      <c r="G167" s="99"/>
      <c r="H167" s="99"/>
      <c r="I167" s="99"/>
      <c r="J167" s="99"/>
    </row>
    <row r="168" ht="14.25" customHeight="1">
      <c r="B168" s="99"/>
      <c r="C168" s="99"/>
      <c r="D168" s="99"/>
      <c r="E168" s="99"/>
      <c r="F168" s="99"/>
      <c r="G168" s="99"/>
      <c r="H168" s="99"/>
      <c r="I168" s="99"/>
      <c r="J168" s="99"/>
    </row>
    <row r="169" ht="14.25" customHeight="1">
      <c r="B169" s="99"/>
      <c r="C169" s="99"/>
      <c r="D169" s="99"/>
      <c r="E169" s="99"/>
      <c r="F169" s="99"/>
      <c r="G169" s="99"/>
      <c r="H169" s="99"/>
      <c r="I169" s="99"/>
      <c r="J169" s="99"/>
    </row>
    <row r="170" ht="14.25" customHeight="1">
      <c r="B170" s="99"/>
      <c r="C170" s="99"/>
      <c r="D170" s="99"/>
      <c r="E170" s="99"/>
      <c r="F170" s="99"/>
      <c r="G170" s="99"/>
      <c r="H170" s="99"/>
      <c r="I170" s="99"/>
      <c r="J170" s="99"/>
    </row>
    <row r="171" ht="14.25" customHeight="1">
      <c r="B171" s="99"/>
      <c r="C171" s="99"/>
      <c r="D171" s="99"/>
      <c r="E171" s="99"/>
      <c r="F171" s="99"/>
      <c r="G171" s="99"/>
      <c r="H171" s="99"/>
      <c r="I171" s="99"/>
      <c r="J171" s="99"/>
    </row>
    <row r="172" ht="14.25" customHeight="1">
      <c r="B172" s="99"/>
      <c r="C172" s="99"/>
      <c r="D172" s="99"/>
      <c r="E172" s="99"/>
      <c r="F172" s="99"/>
      <c r="G172" s="99"/>
      <c r="H172" s="99"/>
      <c r="I172" s="99"/>
      <c r="J172" s="99"/>
    </row>
    <row r="173" ht="14.25" customHeight="1">
      <c r="B173" s="99"/>
      <c r="C173" s="99"/>
      <c r="D173" s="99"/>
      <c r="E173" s="99"/>
      <c r="F173" s="99"/>
      <c r="G173" s="99"/>
      <c r="H173" s="99"/>
      <c r="I173" s="99"/>
      <c r="J173" s="99"/>
    </row>
    <row r="174" ht="14.25" customHeight="1">
      <c r="B174" s="99"/>
      <c r="C174" s="99"/>
      <c r="D174" s="99"/>
      <c r="E174" s="99"/>
      <c r="F174" s="99"/>
      <c r="G174" s="99"/>
      <c r="H174" s="99"/>
      <c r="I174" s="99"/>
      <c r="J174" s="99"/>
    </row>
    <row r="175" ht="14.25" customHeight="1">
      <c r="B175" s="99"/>
      <c r="C175" s="99"/>
      <c r="D175" s="99"/>
      <c r="E175" s="99"/>
      <c r="F175" s="99"/>
      <c r="G175" s="99"/>
      <c r="H175" s="99"/>
      <c r="I175" s="99"/>
      <c r="J175" s="99"/>
    </row>
    <row r="176" ht="14.25" customHeight="1">
      <c r="B176" s="99"/>
      <c r="C176" s="99"/>
      <c r="D176" s="99"/>
      <c r="E176" s="99"/>
      <c r="F176" s="99"/>
      <c r="G176" s="99"/>
      <c r="H176" s="99"/>
      <c r="I176" s="99"/>
      <c r="J176" s="99"/>
    </row>
    <row r="177" ht="14.25" customHeight="1">
      <c r="B177" s="99"/>
      <c r="C177" s="99"/>
      <c r="D177" s="99"/>
      <c r="E177" s="99"/>
      <c r="F177" s="99"/>
      <c r="G177" s="99"/>
      <c r="H177" s="99"/>
      <c r="I177" s="99"/>
      <c r="J177" s="99"/>
    </row>
  </sheetData>
  <sheetProtection sort="1" autoFilter="0"/>
  <conditionalFormatting sqref="C35:I50">
    <cfRule type="expression" dxfId="11" priority="1" text="null">
      <formula>$D35="Produits"</formula>
    </cfRule>
  </conditionalFormatting>
  <conditionalFormatting sqref="C35:I50">
    <cfRule type="expression" dxfId="12" priority="2" text="null">
      <formula>$C35="SIEGE"</formula>
    </cfRule>
  </conditionalFormatting>
  <conditionalFormatting sqref="C35:I50">
    <cfRule type="expression" dxfId="7" priority="3" text="null">
      <formula>$C35&lt;&gt;""</formula>
    </cfRule>
  </conditionalFormatting>
  <conditionalFormatting sqref="H35:H50">
    <cfRule type="cellIs" dxfId="5" priority="4" operator="greaterThan" text="null">
      <formula>0</formula>
    </cfRule>
  </conditionalFormatting>
  <conditionalFormatting sqref="H35:H50">
    <cfRule type="cellIs" dxfId="6" priority="5" operator="lessThan" text="null">
      <formula>0</formula>
    </cfRule>
  </conditionalFormatting>
  <conditionalFormatting sqref="I35:I50">
    <cfRule type="dataBar" priority="6">
      <dataBar>
        <cfvo type="num" val="0"/>
        <cfvo type="max"/>
        <color rgb="FFB8CFEC"/>
      </dataBar>
      <extLst>
        <ext xmlns:x14="http://schemas.microsoft.com/office/spreadsheetml/2009/9/main" uri="{B025F937-C7B1-47D3-B67F-A62EFF666E3E}">
          <x14:id>{2f2201a7-7c02-4b01-8eab-a401e2254f5b}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2201a7-7c02-4b01-8eab-a401e2254f5b}">
            <x14:dataBar minLength="0" maxLength="100" direction="leftToRight">
              <x14:color rgb="FFB8CFEC"/>
              <x14:cfvo type="num">
                <xm:f>0</xm:f>
              </x14:cfvo>
              <x14:cfvo type="max"/>
              <x14:negativeFillColor rgb="FFFF0000"/>
              <x14:negativeBorderColor rgb="FF000000"/>
              <x14:axisColor rgb="FF000000"/>
            </x14:dataBar>
          </x14:cfRule>
          <xm:sqref>I35:I50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Cockpit</vt:lpstr>
      <vt:lpstr>Drill EBITDA 1</vt:lpstr>
      <vt:lpstr>Drill EBITDA 2</vt:lpstr>
      <vt:lpstr>Cockpit!Query00</vt:lpstr>
      <vt:lpstr>Cockpit!Query01</vt:lpstr>
      <vt:lpstr>Cockpit!Query02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2026-09-04T14:45:38Z</dcterms:created>
  <dc:creator>Saad El meziati</dc:creator>
  <cp:lastModifiedBy>Saad El meziati</cp:lastModifiedBy>
  <dcterms:modified xsi:type="dcterms:W3CDTF">2026-09-10T10:45:09Z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