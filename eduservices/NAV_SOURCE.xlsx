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/>
  </bookViews>
  <sheets>
    <sheet r:id="rId1" name="_TGK_HIDDEN" sheetId="1" state="veryHidden"/>
    <sheet r:id="rId2" name="Cockpit" sheetId="2"/>
    <sheet r:id="rId3" name="Drill EBITDA 1" sheetId="3"/>
    <sheet r:id="rId4" name="Drill EBITDA 2" sheetId="4"/>
  </sheets>
  <definedNames>
    <definedName name="Query02" localSheetId="1" comment="Query02" isReadOnly="false">Cockpit!$BB$6:$BD$9</definedName>
    <definedName name="Query01" localSheetId="1" comment="Query01" isReadOnly="false">Cockpit!$AK$6:$AN$11</definedName>
    <definedName name="Query00" localSheetId="1" comment="Query00" isReadOnly="false">Cockpit!$AD$6:$AH$11</definedName>
  </definedNames>
  <calcPr calcId="0" iterateCount="100" iterateDelta="0.001"/>
</workbook>
</file>

<file path=xl/sharedStrings.xml><?xml version="1.0" encoding="utf-8"?>
<sst xmlns="http://schemas.openxmlformats.org/spreadsheetml/2006/main" count="160" uniqueCount="160">
  <si>
    <t>Template00</t>
  </si>
  <si>
    <t>Template01</t>
  </si>
  <si>
    <t>Template02</t>
  </si>
  <si>
    <t>COCKPIT EDUSERVICES — PILOTAGE DE LA MARGE</t>
  </si>
  <si>
    <t xml:space="preserve">Exercice 2026 · variation contre 2025 </t>
  </si>
  <si>
    <t xml:space="preserve">  Scénario</t>
  </si>
  <si>
    <t>Forecast 2026</t>
  </si>
  <si>
    <t>Version</t>
  </si>
  <si>
    <t>V_FINAL</t>
  </si>
  <si>
    <t>Entité</t>
  </si>
  <si>
    <t>EDUSERVICES</t>
  </si>
  <si>
    <t>Pont</t>
  </si>
  <si>
    <t>ETAPE</t>
  </si>
  <si>
    <t>SOCLE</t>
  </si>
  <si>
    <t>ANCRE</t>
  </si>
  <si>
    <t>HAUSSE</t>
  </si>
  <si>
    <t>BAISSE</t>
  </si>
  <si>
    <t>LIBELLE</t>
  </si>
  <si>
    <t>MARGE_2024</t>
  </si>
  <si>
    <t>MARGE_2025</t>
  </si>
  <si>
    <t>MARGE_2026</t>
  </si>
  <si>
    <t>EXERCICE</t>
  </si>
  <si>
    <t>IND_DEPENSES</t>
  </si>
  <si>
    <t>IND_INSCRITS</t>
  </si>
  <si>
    <t>EBITDA 2025</t>
  </si>
  <si>
    <t>Ipac Bachelor Factory</t>
  </si>
  <si>
    <t>2024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</si>
  <si>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</si>
  <si>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</si>
  <si>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</si>
  <si>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</si>
  <si>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</si>
  <si>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</si>
  <si>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Activite</t>
  </si>
  <si>
    <t>ISCOM</t>
  </si>
  <si>
    <t>2025</t>
  </si>
  <si>
    <t>Prix / mix</t>
  </si>
  <si>
    <t>MBway</t>
  </si>
  <si>
    <t>2026</t>
  </si>
  <si>
    <t>Couts</t>
  </si>
  <si>
    <t>Pigier</t>
  </si>
  <si>
    <t>EBITDA 2026</t>
  </si>
  <si>
    <t>Tunon</t>
  </si>
  <si>
    <t xml:space="preserve">  Pont d'EBITDA 2025 → 2026</t>
  </si>
  <si>
    <t xml:space="preserve">  Marge EBITDA par marque</t>
  </si>
  <si>
    <t>CA</t>
  </si>
  <si>
    <t>Δ CA</t>
  </si>
  <si>
    <t>EBITDA</t>
  </si>
  <si>
    <t>Δ EBITDA</t>
  </si>
  <si>
    <t>Part EBITDA</t>
  </si>
  <si>
    <t>Marge EBITDA</t>
  </si>
  <si>
    <t>Δ Marge</t>
  </si>
  <si>
    <t>Inscrits</t>
  </si>
  <si>
    <t>Rempl.</t>
  </si>
  <si>
    <t>Mix alt.</t>
  </si>
  <si>
    <t>EFFECTIFS</t>
  </si>
  <si>
    <t>PLACES</t>
  </si>
  <si>
    <t>EFFECTIFS_ALT</t>
  </si>
  <si>
    <t>EBITDA_N1</t>
  </si>
  <si>
    <t>CA_N1</t>
  </si>
  <si>
    <t>SPEND_ACQ</t>
  </si>
  <si>
    <t>SPEND_ACQ_N1</t>
  </si>
  <si>
    <t>Marge EBTIDA N-1</t>
  </si>
  <si>
    <t>PLACES_N1</t>
  </si>
  <si>
    <t>INSCRITS_N1</t>
  </si>
  <si>
    <t>EFFECTIFS_N1</t>
  </si>
  <si>
    <t>% nouveaux inscrits</t>
  </si>
  <si>
    <t>Programme</t>
  </si>
  <si>
    <t>Modalité</t>
  </si>
  <si>
    <t>Ipac Bachelor Factory Montpellier</t>
  </si>
  <si>
    <t>Ipac Bachelor Factory Nantes</t>
  </si>
  <si>
    <t>Ipac Bachelor Factory Rennes</t>
  </si>
  <si>
    <t>ISCOM Lille</t>
  </si>
  <si>
    <t>ISCOM Paris</t>
  </si>
  <si>
    <t>ISCOM Toulouse</t>
  </si>
  <si>
    <t>MBway Bordeaux</t>
  </si>
  <si>
    <t>MBway Lyon</t>
  </si>
  <si>
    <t>MBway Nantes</t>
  </si>
  <si>
    <t>MBway Paris</t>
  </si>
  <si>
    <t>Pigier Bordeaux</t>
  </si>
  <si>
    <t>Pigier Lyon</t>
  </si>
  <si>
    <t>Tunon Lyon</t>
  </si>
  <si>
    <t>Tunon Paris</t>
  </si>
  <si>
    <t>POURQUOI L'EBITDA A BOUGÉ</t>
  </si>
  <si>
    <t>drill sur la cellule cliquée · 2026 contre 2025</t>
  </si>
  <si>
    <t>le pont ci-dessous décompose cette variation en cinq causes, sans reste</t>
  </si>
  <si>
    <t>LE PONT, CHIFFRE PAR CHIFFRE</t>
  </si>
  <si>
    <t xml:space="preserve">la légende du graphe  </t>
  </si>
  <si>
    <t>Effet</t>
  </si>
  <si>
    <t>Montant</t>
  </si>
  <si>
    <t>Part de sa masse</t>
  </si>
  <si>
    <t>Effet effectifs</t>
  </si>
  <si>
    <t/>
  </si>
  <si>
    <t>Effet prix et mix</t>
  </si>
  <si>
    <t>Effet coût var. unitaire</t>
  </si>
  <si>
    <t>Effet coûts directs</t>
  </si>
  <si>
    <t>Effet siège</t>
  </si>
  <si>
    <t>Ce qui pousse  ·  ce qui freine</t>
  </si>
  <si>
    <t>Contrôle · les cinq effets moins la variation</t>
  </si>
  <si>
    <t>doit valoir 0,00 €</t>
  </si>
  <si>
    <t xml:space="preserve">LE DÉTAIL PAR CAMPUS </t>
  </si>
  <si>
    <t xml:space="preserve">une ligne par campus  </t>
  </si>
  <si>
    <t>Calcul des effets</t>
  </si>
  <si>
    <t xml:space="preserve">une multiplication par effet  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</si>
  <si>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</si>
  <si>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</si>
  <si>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</si>
  <si>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</si>
  <si>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</si>
  <si>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</si>
  <si>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</si>
  <si>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</si>
  <si>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</si>
  <si>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</si>
  <si>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</si>
  <si>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</si>
  <si>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</si>
  <si>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TOTAL du périmètre</t>
  </si>
  <si>
    <t>—</t>
  </si>
  <si>
    <t>DE QUOI CET EBITDA EST-IL FAIT</t>
  </si>
  <si>
    <t>drill sur la cellule cliquée · 2026 contre 2025 · le tableau lit la restitution de Q_D2_SOCLE par RECHERCHEV sur le compte</t>
  </si>
  <si>
    <t>les charges sont signées en négatif : leur somme avec le CA donne l'EBITDA</t>
  </si>
  <si>
    <t>Compte</t>
  </si>
  <si>
    <t>Famille</t>
  </si>
  <si>
    <t>Poste</t>
  </si>
  <si>
    <t>Poste court</t>
  </si>
  <si>
    <t>Montant 2025</t>
  </si>
  <si>
    <t>Montant 2026</t>
  </si>
  <si>
    <t>COMPTE</t>
  </si>
  <si>
    <t>POSTE</t>
  </si>
  <si>
    <t>MONTANT 2025</t>
  </si>
  <si>
    <t>MONTANT 2026</t>
  </si>
  <si>
    <t>706</t>
  </si>
  <si>
    <t>Scolarite des etudiants en initial</t>
  </si>
  <si>
    <t>7062</t>
  </si>
  <si>
    <t>Scolarite des alternants</t>
  </si>
  <si>
    <t>708</t>
  </si>
  <si>
    <t>Frais d'inscription</t>
  </si>
  <si>
    <t>LE COMPTE D'EXPLOITATION, POSTE PAR POSTE</t>
  </si>
  <si>
    <t>Variation</t>
  </si>
  <si>
    <t>Part des charges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</si>
  <si>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</si>
  <si>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</si>
  <si>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</si>
  <si>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</si>
  <si>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</si>
  <si>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</si>
  <si>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</si>
  <si>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</si>
  <si>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</si>
  <si>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</si>
  <si>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</si>
  <si>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</si>
  <si>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</si>
  <si>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Contrôle</t>
  </si>
  <si>
    <t>la somme des seize lignes doit valoir l'EBITDA</t>
  </si>
  <si>
    <t>RAPPROCHEMENT DU CHIFFRE D'AFFAIRES  ·  comptes de produit contre socle CRM</t>
  </si>
  <si>
    <t>Comptes de produit  ·  706 + 7062 + 708, somme des trois lignes ci-dessus</t>
  </si>
  <si>
    <t>Socle CRM  ·  effectifs × droits de scolarité, restitution de Q_D3_CA_CRM</t>
  </si>
  <si>
    <t>Écart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</si>
</sst>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171" formatCode="0.0%"/>
    <numFmt numFmtId="172" formatCode="#,##0.00,"/>
    <numFmt numFmtId="173" formatCode="#,##0,"/>
    <numFmt numFmtId="176" formatCode="mm/dd/yy;@"/>
    <numFmt numFmtId="178" formatCode="_(&quot;$&quot;* #,##0_);_(&quot;$&quot;* \(#,##0\);_(&quot;$&quot;* &quot;-&quot;_);_(@_)"/>
    <numFmt numFmtId="179" formatCode="&quot;$&quot;#,##0.00"/>
    <numFmt numFmtId="182" formatCode="&quot;▲ &quot;0.0%;&quot;▼ &quot;0.0%;&quot;&quot;"/>
    <numFmt numFmtId="184" formatCode="&quot;▲ &quot;0.00;&quot;▼ &quot;0.00;&quot;&quot;"/>
    <numFmt numFmtId="185" formatCode="0.0,,&quot; M€&quot;"/>
    <numFmt numFmtId="189" formatCode="#,##0&quot; €&quot;"/>
    <numFmt numFmtId="193" formatCode="&quot;▲ &quot;0.0%;&quot;▼ &quot;0.0%;&quot;—&quot;"/>
    <numFmt numFmtId="194" formatCode="&quot;+&quot;0.0%;&quot;-&quot;0.0%;&quot;—&quot;"/>
    <numFmt numFmtId="195" formatCode="&quot;▲ &quot;0.00&quot; pt&quot;;&quot;▼ &quot;0.00&quot; pt&quot;;&quot;—&quot;"/>
    <numFmt numFmtId="196" formatCode="&quot;+&quot;0.00&quot; pt&quot;;&quot;-&quot;0.00&quot; pt&quot;;&quot;—&quot;"/>
    <numFmt numFmtId="197" formatCode="#,##0&quot; places libres&quot;;\-#,##0&quot; places libres&quot;;&quot;—&quot;"/>
    <numFmt numFmtId="198" formatCode="#,##0&quot; places libres&quot;"/>
    <numFmt numFmtId="203" formatCode="0.00&quot; €&quot;"/>
    <numFmt numFmtId="205" formatCode="&quot;▲ &quot;#,##0;&quot;▼ &quot;#,##0;&quot;—&quot;"/>
    <numFmt numFmtId="208" formatCode="\+#,##0&quot; €&quot;;\-#,##0&quot; €&quot;;&quot;0 €&quot;"/>
    <numFmt numFmtId="209" formatCode="\+0.00%;\-0.00%;&quot;0,00 %&quot;"/>
    <numFmt numFmtId="210" formatCode="\+#,##0&quot; €&quot;"/>
    <numFmt numFmtId="211" formatCode="\-#,##0&quot; €&quot;"/>
    <numFmt numFmtId="215" formatCode="&quot;+&quot;0.0%;&quot;-&quot;0.0%;&quot;&quot;"/>
    <numFmt numFmtId="217" formatCode="_(* #,##0.00_);_(* \(#,##0.00\);_(* &quot;-&quot;??_);_(@_)"/>
    <numFmt numFmtId="218" formatCode="_(* #,##0_);_(* \(#,##0\);_(* &quot;-&quot;_);_(@_)"/>
    <numFmt numFmtId="219" formatCode="_(&quot;€&quot;* #,##0.00_);_(&quot;€&quot;* \(#,##0.00\);_(&quot;€&quot;* &quot;-&quot;??_);_(@_)"/>
    <numFmt numFmtId="220" formatCode="_(&quot;€&quot;* #,##0_);_(&quot;€&quot;* \(#,##0\);_(&quot;€&quot;* &quot;-&quot;_);_(@_)"/>
    <numFmt numFmtId="221" formatCode="#.###."/>
  </numFmts>
  <fonts count="67">
    <font>
      <b val="0"/>
      <i val="0"/>
      <sz val="11"/>
      <color theme="1"/>
      <name val="Calibri"/>
      <scheme val="minor"/>
    </font>
    <font>
      <b val="0"/>
      <i val="0"/>
      <sz val="11"/>
      <color theme="0"/>
      <name val="Aptos Narrow"/>
      <scheme val="minor"/>
    </font>
    <font>
      <b val="0"/>
      <i val="0"/>
      <sz val="8"/>
      <color theme="3"/>
      <name val="Tahoma"/>
    </font>
    <font>
      <b val="0"/>
      <i val="0"/>
      <sz val="11"/>
      <color theme="3"/>
      <name val="Calibri"/>
      <scheme val="minor"/>
    </font>
    <font>
      <b val="0"/>
      <i val="0"/>
      <sz val="8"/>
      <color theme="0"/>
      <name val="Tahoma"/>
    </font>
    <font>
      <b/>
      <i val="0"/>
      <sz val="8"/>
      <color theme="3"/>
      <name val="Tahoma"/>
    </font>
    <font>
      <b/>
      <i/>
      <sz val="8"/>
      <color theme="3"/>
      <name val="Tahoma"/>
    </font>
    <font>
      <b val="0"/>
      <i val="0"/>
      <u/>
      <sz val="8"/>
      <color theme="3"/>
      <name val="Tahoma"/>
    </font>
    <font>
      <b val="0"/>
      <i val="0"/>
      <sz val="8"/>
      <color auto="1"/>
      <name val="Tahoma"/>
    </font>
    <font>
      <b val="0"/>
      <i val="0"/>
      <sz val="11"/>
      <color rgb="FF9C6500"/>
      <name val="Aptos Narrow"/>
      <scheme val="minor"/>
    </font>
    <font>
      <b val="0"/>
      <i val="0"/>
      <sz val="11"/>
      <color theme="1"/>
      <name val="Aptos Narrow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theme="3"/>
      <name val="Tahoma"/>
    </font>
    <font>
      <b val="0"/>
      <i val="0"/>
      <sz val="10"/>
      <color theme="3"/>
      <name val="Webdings"/>
    </font>
    <font>
      <b/>
      <i val="0"/>
      <sz val="18"/>
      <color theme="3"/>
      <name val="Aptos Display"/>
      <scheme val="major"/>
    </font>
    <font>
      <b val="0"/>
      <i val="0"/>
      <sz val="8"/>
      <color rgb="FFFF0000"/>
      <name val="Webdings"/>
    </font>
    <font>
      <b val="0"/>
      <i val="0"/>
      <sz val="14"/>
      <color rgb="FFFF0000"/>
      <name val="Webdings"/>
    </font>
    <font>
      <b val="0"/>
      <i val="0"/>
      <sz val="8"/>
      <color theme="1"/>
      <name val="Webdings"/>
    </font>
    <font>
      <b val="0"/>
      <i val="0"/>
      <sz val="14"/>
      <color rgb="FF00B050"/>
      <name val="Webdings"/>
    </font>
    <font>
      <b val="0"/>
      <i val="0"/>
      <sz val="8.5"/>
      <color rgb="FF202733"/>
      <name val="Arial"/>
    </font>
    <font>
      <b/>
      <i val="0"/>
      <sz val="9"/>
      <color rgb="FF202733"/>
      <name val="Fira Sans Medium"/>
    </font>
    <font>
      <b/>
      <i val="0"/>
      <sz val="16"/>
      <color rgb="FF202733"/>
      <name val="Fira Sans Medium"/>
    </font>
    <font>
      <b/>
      <i val="0"/>
      <sz val="7.5"/>
      <color rgb="FF526071"/>
      <name val="Arial"/>
    </font>
    <font>
      <b/>
      <i val="0"/>
      <sz val="9"/>
      <color rgb="FF202733"/>
      <name val="Arial"/>
    </font>
    <font>
      <b val="0"/>
      <i val="0"/>
      <sz val="9"/>
      <color rgb="FF7C8798"/>
      <name val="Segoe UI"/>
    </font>
    <font>
      <b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8"/>
      <color rgb="FF202733"/>
      <name val="Fira Sans Medium"/>
    </font>
    <font>
      <b/>
      <i val="0"/>
      <sz val="9"/>
      <color rgb="FF69778B"/>
      <name val="Arial"/>
    </font>
    <font>
      <b/>
      <i val="0"/>
      <sz val="8.5"/>
      <color rgb="FF69778B"/>
      <name val="Arial"/>
    </font>
    <font>
      <b val="0"/>
      <i/>
      <sz val="7.5"/>
      <color rgb="FF69778B"/>
      <name val="Arial"/>
    </font>
    <font>
      <b val="0"/>
      <i val="0"/>
      <sz val="11"/>
      <color rgb="FFF3F6FA"/>
      <name val="Aptos Narrow"/>
      <scheme val="minor"/>
    </font>
    <font>
      <b/>
      <i val="0"/>
      <sz val="8"/>
      <color rgb="FFFFFFFF"/>
      <name val="Fira Sans Medium"/>
    </font>
    <font>
      <b/>
      <i val="0"/>
      <sz val="10"/>
      <color rgb="FF202733"/>
      <name val="Fira Sans Medium"/>
    </font>
    <font>
      <b val="0"/>
      <i val="0"/>
      <sz val="8.5"/>
      <color rgb="FF69778B"/>
      <name val="Arial"/>
    </font>
    <font>
      <b/>
      <i val="0"/>
      <sz val="15"/>
      <color rgb="FFFFFFFF"/>
      <name val="Fira Sans Medium"/>
    </font>
    <font>
      <b val="0"/>
      <i val="0"/>
      <sz val="8"/>
      <color rgb="FFB8C6DA"/>
      <name val="Arial"/>
    </font>
    <font>
      <b/>
      <i val="0"/>
      <sz val="14"/>
      <color rgb="FF202733"/>
      <name val="Fira Sans Medium"/>
    </font>
    <font>
      <b val="0"/>
      <i/>
      <sz val="8.5"/>
      <color rgb="FF69778B"/>
      <name val="Arial"/>
    </font>
    <font>
      <b val="0"/>
      <i val="0"/>
      <sz val="9"/>
      <color rgb="FF202733"/>
      <name val="Arial"/>
    </font>
    <font>
      <b/>
      <i val="0"/>
      <sz val="11"/>
      <color rgb="FF1E9E89"/>
      <name val="Arial"/>
    </font>
    <font>
      <b/>
      <i val="0"/>
      <sz val="8.5"/>
      <color rgb="FF202733"/>
      <name val="Arial"/>
    </font>
    <font>
      <b/>
      <i val="0"/>
      <sz val="13"/>
      <color rgb="FF202733"/>
      <name val="Fira Sans Medium"/>
    </font>
    <font>
      <b/>
      <i val="0"/>
      <sz val="8"/>
      <color rgb="FF69778B"/>
      <name val="Arial"/>
    </font>
    <font>
      <b/>
      <i val="0"/>
      <sz val="11"/>
      <color rgb="FF2A78D6"/>
      <name val="Arial"/>
    </font>
    <font>
      <b/>
      <i val="0"/>
      <sz val="9"/>
      <color rgb="FF2A78D6"/>
      <name val="Arial"/>
    </font>
    <font>
      <b/>
      <i val="0"/>
      <sz val="9"/>
      <color rgb="FF1E9E89"/>
      <name val="Arial"/>
    </font>
    <font>
      <b/>
      <i val="0"/>
      <sz val="9"/>
      <color rgb="FFD64545"/>
      <name val="Arial"/>
    </font>
    <font>
      <b val="0"/>
      <i val="0"/>
      <sz val="8"/>
      <color theme="3"/>
      <name val="Tahoma"/>
    </font>
    <font>
      <b val="0"/>
      <i val="0"/>
      <sz val="7.5"/>
      <color rgb="FF69778B"/>
      <name val="Arial"/>
    </font>
    <font>
      <b val="0"/>
      <i val="0"/>
      <sz val="8"/>
      <color rgb="FF69778B"/>
      <name val="Arial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6500"/>
      <name val="Calibri"/>
      <scheme val="minor"/>
    </font>
    <font>
      <b/>
      <i val="0"/>
      <sz val="11"/>
      <color rgb="FF3F3F3F"/>
      <name val="Calibri"/>
      <scheme val="minor"/>
    </font>
    <font>
      <b/>
      <i/>
      <sz val="11"/>
      <color theme="1"/>
      <name val="Calibri"/>
      <scheme val="minor"/>
    </font>
    <font>
      <b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7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/>
      <top style="thin">
        <color rgb="FFB8CFEC"/>
      </top>
      <bottom style="thin">
        <color rgb="FFB8CFEC"/>
      </bottom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</borders>
  <cellStyleXfs count="112">
    <xf numFmtId="0" fontId="0" fillId="0" borderId="1"/>
    <xf numFmtId="9" fontId="0" fillId="0" borderId="1" applyFont="0" applyFill="0" applyBorder="0" applyAlignment="0" applyProtection="0"/>
    <xf numFmtId="171" fontId="0" fillId="0" borderId="1" applyFont="0" applyFill="0" applyBorder="0">
      <alignment horizontal="center" vertical="bottom"/>
    </xf>
    <xf numFmtId="10" fontId="0" fillId="0" borderId="1" applyFont="0" applyFill="0" applyBorder="0" applyAlignment="0"/>
    <xf numFmtId="0" fontId="1" fillId="2" borderId="1" applyBorder="0" applyNumberFormat="0" applyAlignment="0" applyProtection="0"/>
    <xf numFmtId="0" fontId="1" fillId="3" borderId="1" applyBorder="0" applyNumberFormat="0" applyAlignment="0" applyProtection="0"/>
    <xf numFmtId="0" fontId="1" fillId="4" borderId="1" applyBorder="0" applyNumberFormat="0" applyAlignment="0" applyProtection="0"/>
    <xf numFmtId="0" fontId="1" fillId="5" borderId="1" applyBorder="0" applyNumberFormat="0" applyAlignment="0" applyProtection="0"/>
    <xf numFmtId="0" fontId="1" fillId="6" borderId="1" applyBorder="0" applyNumberFormat="0" applyAlignment="0" applyProtection="0"/>
    <xf numFmtId="0" fontId="1" fillId="7" borderId="1" applyBorder="0" applyNumberFormat="0" applyAlignment="0" applyProtection="0"/>
    <xf numFmtId="172" fontId="2" fillId="8" borderId="2" applyNumberFormat="0" applyProtection="0">
      <alignment horizontal="center" vertical="center" wrapText="1"/>
    </xf>
    <xf numFmtId="9" fontId="0" fillId="0" borderId="1" applyFont="0" applyFill="0" applyBorder="0" applyNumberFormat="0" applyProtection="0">
      <alignment horizontal="center" vertical="center"/>
    </xf>
    <xf numFmtId="9" fontId="0" fillId="0" borderId="1" applyFont="0" applyFill="0" applyBorder="0" applyNumberFormat="0" applyProtection="0">
      <alignment horizontal="left" vertical="center"/>
    </xf>
    <xf numFmtId="9" fontId="0" fillId="0" borderId="1" applyFont="0" applyFill="0" applyBorder="0" applyNumberFormat="0" applyProtection="0">
      <alignment horizontal="left" vertical="center" wrapText="1"/>
    </xf>
    <xf numFmtId="2" fontId="3" fillId="0" borderId="1" applyFont="0" applyFill="0" applyBorder="0" applyAlignment="0" applyProtection="0">
      <alignment horizontal="left" vertical="bottom"/>
    </xf>
    <xf numFmtId="9" fontId="0" fillId="0" borderId="3" applyFont="0" applyFill="0" applyNumberFormat="0" applyAlignment="0"/>
    <xf numFmtId="173" fontId="0" fillId="0" borderId="1" applyFont="0" applyFill="0" applyBorder="0" applyAlignment="0"/>
    <xf numFmtId="172" fontId="2" fillId="0" borderId="4" applyFill="0" applyNumberFormat="0" applyProtection="0">
      <alignment horizontal="center" vertical="center" wrapText="1"/>
    </xf>
    <xf numFmtId="9" fontId="4" fillId="0" borderId="1" applyFill="0" applyNumberFormat="0" applyAlignment="0"/>
    <xf numFmtId="9" fontId="5" fillId="0" borderId="1" applyFill="0" applyBorder="0" applyNumberFormat="0" applyAlignment="0" applyProtection="0"/>
    <xf numFmtId="9" fontId="6" fillId="0" borderId="1" applyFill="0" applyBorder="0" applyNumberFormat="0" applyAlignment="0" applyProtection="0"/>
    <xf numFmtId="172" fontId="0" fillId="9" borderId="5" applyFont="0" applyNumberFormat="0" applyAlignment="0"/>
    <xf numFmtId="0" fontId="2" fillId="8" borderId="6">
      <alignment horizontal="center" vertical="center" wrapText="1"/>
    </xf>
    <xf numFmtId="176" fontId="0" fillId="0" borderId="1" applyFont="0" applyFill="0" applyBorder="0" applyAlignment="0"/>
    <xf numFmtId="9" fontId="0" fillId="10" borderId="1" applyFont="0" applyBorder="0" applyNumberFormat="0" applyAlignment="0" applyProtection="0"/>
    <xf numFmtId="172" fontId="5" fillId="0" borderId="1" applyFill="0" applyBorder="0" applyNumberFormat="0" applyProtection="0">
      <alignment horizontal="right" vertical="bottom"/>
    </xf>
    <xf numFmtId="0" fontId="2" fillId="0" borderId="3" applyFill="0" applyNumberFormat="0">
      <alignment horizontal="left" vertical="center"/>
    </xf>
    <xf numFmtId="9" fontId="7" fillId="0" borderId="1" applyFill="0" applyBorder="0" applyNumberFormat="0" applyAlignment="0"/>
    <xf numFmtId="0" fontId="0" fillId="0" borderId="1" applyFont="0" applyFill="0" applyBorder="0" applyNumberFormat="0">
      <alignment horizontal="center" vertical="center" wrapText="1"/>
    </xf>
    <xf numFmtId="178" fontId="2" fillId="0" borderId="1"/>
    <xf numFmtId="179" fontId="8" fillId="0" borderId="1" applyBorder="0">
      <alignment horizontal="center" vertical="bottom"/>
    </xf>
    <xf numFmtId="0" fontId="9" fillId="11" borderId="1" applyBorder="0" applyNumberFormat="0" applyAlignment="0" applyProtection="0"/>
    <xf numFmtId="0" fontId="10" fillId="0" borderId="1"/>
    <xf numFmtId="0" fontId="2" fillId="0" borderId="5" applyFill="0" applyNumberFormat="0" applyAlignment="0"/>
    <xf numFmtId="9" fontId="5" fillId="0" borderId="7" applyFill="0" applyNumberFormat="0"/>
    <xf numFmtId="9" fontId="11" fillId="8" borderId="8" applyNumberFormat="0" applyAlignment="0"/>
    <xf numFmtId="3" fontId="2" fillId="0" borderId="1" applyFill="0" applyBorder="0" applyProtection="0">
      <alignment horizontal="right" vertical="center"/>
    </xf>
    <xf numFmtId="37" fontId="12" fillId="0" borderId="1" applyFill="0" applyBorder="0" applyProtection="0">
      <alignment horizontal="right" vertical="center"/>
    </xf>
    <xf numFmtId="172" fontId="2" fillId="0" borderId="1" applyFill="0" applyBorder="0" applyNumberFormat="0" applyProtection="0">
      <alignment horizontal="left" vertical="bottom"/>
    </xf>
    <xf numFmtId="0" fontId="2" fillId="0" borderId="1" applyFill="0" applyBorder="0" applyNumberFormat="0" applyProtection="0">
      <alignment horizontal="right" vertical="center" wrapText="1"/>
    </xf>
    <xf numFmtId="9" fontId="0" fillId="12" borderId="1" applyFont="0" applyNumberFormat="0" applyAlignment="0" applyProtection="0"/>
    <xf numFmtId="9" fontId="13" fillId="0" borderId="1" applyFill="0" applyBorder="0" applyNumberFormat="0" applyAlignment="0"/>
    <xf numFmtId="9" fontId="0" fillId="0" borderId="1"/>
    <xf numFmtId="9" fontId="5" fillId="13" borderId="1" applyBorder="0" applyNumberFormat="0" applyProtection="0">
      <alignment horizontal="right" vertical="center"/>
    </xf>
    <xf numFmtId="9" fontId="5" fillId="13" borderId="1" applyBorder="0" applyNumberFormat="0" applyProtection="0">
      <alignment horizontal="left" vertical="center" wrapText="1"/>
    </xf>
    <xf numFmtId="172" fontId="5" fillId="13" borderId="9" applyFill="0" applyBorder="0" applyNumberFormat="0" applyAlignment="0"/>
    <xf numFmtId="0" fontId="3" fillId="0" borderId="1" applyFill="0" applyBorder="0" applyNumberFormat="0" applyProtection="0">
      <alignment horizontal="right" vertical="bottom"/>
    </xf>
    <xf numFmtId="0" fontId="14" fillId="0" borderId="1" applyFill="0" applyBorder="0" applyNumberFormat="0" applyAlignment="0" applyProtection="0"/>
    <xf numFmtId="9" fontId="15" fillId="0" borderId="1" applyFill="0" applyBorder="0" applyProtection="0">
      <alignment horizontal="center" vertical="center"/>
    </xf>
    <xf numFmtId="0" fontId="16" fillId="0" borderId="1">
      <alignment horizontal="center" vertical="center"/>
    </xf>
    <xf numFmtId="1" fontId="17" fillId="0" borderId="1" applyFill="0" applyBorder="0" applyProtection="0">
      <alignment horizontal="center" vertical="center"/>
    </xf>
    <xf numFmtId="0" fontId="16" fillId="0" borderId="10" applyFill="0" applyProtection="0">
      <alignment horizontal="center" vertical="center"/>
    </xf>
    <xf numFmtId="0" fontId="18" fillId="0" borderId="10" applyFill="0" applyProtection="0">
      <alignment horizontal="center" vertical="bottom"/>
    </xf>
    <xf numFmtId="9" fontId="5" fillId="0" borderId="11" applyFill="0" applyNumberFormat="0">
      <alignment horizontal="left" vertical="bottom"/>
    </xf>
    <xf numFmtId="0" fontId="2" fillId="0" borderId="3">
      <alignment horizontal="left" vertical="top" wrapText="1"/>
      <protection locked="0"/>
    </xf>
    <xf numFmtId="0" fontId="0" fillId="21" borderId="1" applyBorder="0" applyNumberFormat="0" applyAlignment="0" applyProtection="0"/>
    <xf numFmtId="0" fontId="0" fillId="22" borderId="1" applyBorder="0" applyNumberFormat="0" applyAlignment="0" applyProtection="0"/>
    <xf numFmtId="0" fontId="0" fillId="23" borderId="1" applyBorder="0" applyNumberFormat="0" applyAlignment="0" applyProtection="0"/>
    <xf numFmtId="0" fontId="0" fillId="24" borderId="1" applyBorder="0" applyNumberFormat="0" applyAlignment="0" applyProtection="0"/>
    <xf numFmtId="0" fontId="0" fillId="25" borderId="1" applyBorder="0" applyNumberFormat="0" applyAlignment="0" applyProtection="0"/>
    <xf numFmtId="0" fontId="0" fillId="26" borderId="1" applyBorder="0" applyNumberFormat="0" applyAlignment="0" applyProtection="0"/>
    <xf numFmtId="0" fontId="0" fillId="27" borderId="1" applyBorder="0" applyNumberFormat="0" applyAlignment="0" applyProtection="0"/>
    <xf numFmtId="0" fontId="0" fillId="28" borderId="1" applyBorder="0" applyNumberFormat="0" applyAlignment="0" applyProtection="0"/>
    <xf numFmtId="0" fontId="0" fillId="29" borderId="1" applyBorder="0" applyNumberFormat="0" applyAlignment="0" applyProtection="0"/>
    <xf numFmtId="0" fontId="0" fillId="30" borderId="1" applyBorder="0" applyNumberFormat="0" applyAlignment="0" applyProtection="0"/>
    <xf numFmtId="0" fontId="0" fillId="31" borderId="1" applyBorder="0" applyNumberFormat="0" applyAlignment="0" applyProtection="0"/>
    <xf numFmtId="0" fontId="0" fillId="32" borderId="1" applyBorder="0" applyNumberFormat="0" applyAlignment="0" applyProtection="0"/>
    <xf numFmtId="0" fontId="11" fillId="2" borderId="1" applyBorder="0" applyNumberFormat="0" applyAlignment="0" applyProtection="0"/>
    <xf numFmtId="0" fontId="11" fillId="3" borderId="1" applyBorder="0" applyNumberFormat="0" applyAlignment="0" applyProtection="0"/>
    <xf numFmtId="0" fontId="11" fillId="4" borderId="1" applyBorder="0" applyNumberFormat="0" applyAlignment="0" applyProtection="0"/>
    <xf numFmtId="0" fontId="11" fillId="5" borderId="1" applyBorder="0" applyNumberFormat="0" applyAlignment="0" applyProtection="0"/>
    <xf numFmtId="0" fontId="11" fillId="6" borderId="1" applyBorder="0" applyNumberFormat="0" applyAlignment="0" applyProtection="0"/>
    <xf numFmtId="0" fontId="11" fillId="7" borderId="1" applyBorder="0" applyNumberFormat="0" applyAlignment="0" applyProtection="0"/>
    <xf numFmtId="0" fontId="11" fillId="33" borderId="1" applyBorder="0" applyNumberFormat="0" applyAlignment="0" applyProtection="0"/>
    <xf numFmtId="0" fontId="11" fillId="34" borderId="1" applyBorder="0" applyNumberFormat="0" applyAlignment="0" applyProtection="0"/>
    <xf numFmtId="0" fontId="11" fillId="35" borderId="1" applyBorder="0" applyNumberFormat="0" applyAlignment="0" applyProtection="0"/>
    <xf numFmtId="0" fontId="11" fillId="36" borderId="1" applyBorder="0" applyNumberFormat="0" applyAlignment="0" applyProtection="0"/>
    <xf numFmtId="0" fontId="11" fillId="37" borderId="1" applyBorder="0" applyNumberFormat="0" applyAlignment="0" applyProtection="0"/>
    <xf numFmtId="0" fontId="11" fillId="38" borderId="1" applyBorder="0" applyNumberFormat="0" applyAlignment="0" applyProtection="0"/>
    <xf numFmtId="9" fontId="2" fillId="0" borderId="3" applyFill="0" applyNumberFormat="0" applyProtection="0">
      <alignment horizontal="right" vertical="center"/>
      <protection locked="0"/>
    </xf>
    <xf numFmtId="0" fontId="51" fillId="39" borderId="1" applyBorder="0" applyNumberFormat="0" applyAlignment="0" applyProtection="0"/>
    <xf numFmtId="0" fontId="52" fillId="40" borderId="26" applyNumberFormat="0" applyAlignment="0" applyProtection="0"/>
    <xf numFmtId="0" fontId="53" fillId="41" borderId="27" applyNumberFormat="0" applyAlignment="0" applyProtection="0"/>
    <xf numFmtId="217" fontId="0" fillId="0" borderId="1" applyFont="0" applyFill="0" applyBorder="0" applyAlignment="0" applyProtection="0"/>
    <xf numFmtId="218" fontId="0" fillId="0" borderId="1" applyFont="0" applyFill="0" applyBorder="0" applyAlignment="0" applyProtection="0"/>
    <xf numFmtId="219" fontId="0" fillId="0" borderId="1" applyFont="0" applyFill="0" applyBorder="0" applyAlignment="0" applyProtection="0"/>
    <xf numFmtId="220" fontId="0" fillId="0" borderId="1" applyFont="0" applyFill="0" applyBorder="0" applyAlignment="0" applyProtection="0"/>
    <xf numFmtId="0" fontId="54" fillId="0" borderId="1" applyFill="0" applyBorder="0" applyNumberFormat="0" applyAlignment="0" applyProtection="0"/>
    <xf numFmtId="0" fontId="55" fillId="42" borderId="1" applyBorder="0" applyNumberFormat="0" applyAlignment="0" applyProtection="0"/>
    <xf numFmtId="0" fontId="56" fillId="0" borderId="28" applyFill="0" applyNumberFormat="0" applyAlignment="0" applyProtection="0"/>
    <xf numFmtId="0" fontId="57" fillId="0" borderId="29" applyFill="0" applyNumberFormat="0" applyAlignment="0" applyProtection="0"/>
    <xf numFmtId="0" fontId="58" fillId="0" borderId="30" applyFill="0" applyNumberFormat="0" applyAlignment="0" applyProtection="0"/>
    <xf numFmtId="0" fontId="58" fillId="0" borderId="1" applyFill="0" applyBorder="0" applyNumberFormat="0" applyAlignment="0" applyProtection="0"/>
    <xf numFmtId="0" fontId="59" fillId="43" borderId="26" applyNumberFormat="0" applyAlignment="0" applyProtection="0"/>
    <xf numFmtId="0" fontId="60" fillId="0" borderId="31" applyFill="0" applyNumberFormat="0" applyAlignment="0" applyProtection="0"/>
    <xf numFmtId="0" fontId="61" fillId="11" borderId="1" applyBorder="0" applyNumberFormat="0" applyAlignment="0" applyProtection="0"/>
    <xf numFmtId="0" fontId="0" fillId="44" borderId="32" applyFont="0" applyNumberFormat="0" applyAlignment="0" applyProtection="0"/>
    <xf numFmtId="0" fontId="62" fillId="40" borderId="33" applyNumberFormat="0" applyAlignment="0" applyProtection="0"/>
    <xf numFmtId="9" fontId="5" fillId="0" borderId="1" applyFill="0" applyNumberFormat="0"/>
    <xf numFmtId="221" fontId="5" fillId="13" borderId="34" applyFill="0" applyBorder="0" applyNumberFormat="0">
      <alignment horizontal="left" vertical="center"/>
    </xf>
    <xf numFmtId="9" fontId="5" fillId="13" borderId="7" applyFill="0" applyNumberFormat="0">
      <alignment horizontal="center" vertical="center" wrapText="1"/>
    </xf>
    <xf numFmtId="0" fontId="63" fillId="0" borderId="1" applyFont="0" applyFill="0" applyBorder="0" applyNumberFormat="0" applyProtection="0">
      <alignment horizontal="left" vertical="bottom" indent="2"/>
    </xf>
    <xf numFmtId="0" fontId="63" fillId="0" borderId="1" applyFill="0" applyBorder="0" applyNumberFormat="0" applyProtection="0">
      <alignment horizontal="left" vertical="bottom" indent="1"/>
    </xf>
    <xf numFmtId="0" fontId="64" fillId="0" borderId="1" applyFill="0" applyBorder="0" applyNumberFormat="0" applyAlignment="0" applyProtection="0"/>
    <xf numFmtId="0" fontId="65" fillId="0" borderId="35" applyFill="0" applyNumberFormat="0" applyAlignment="0" applyProtection="0"/>
    <xf numFmtId="172" fontId="5" fillId="13" borderId="36" applyNumberFormat="0">
      <alignment horizontal="right" vertical="bottom"/>
    </xf>
    <xf numFmtId="9" fontId="2" fillId="13" borderId="3" applyBorder="0" applyNumberFormat="0">
      <alignment horizontal="right" vertical="center"/>
    </xf>
    <xf numFmtId="9" fontId="5" fillId="13" borderId="3" applyNumberFormat="0">
      <alignment horizontal="right" vertical="center"/>
    </xf>
    <xf numFmtId="49" fontId="5" fillId="13" borderId="36">
      <alignment horizontal="left" vertical="bottom"/>
    </xf>
    <xf numFmtId="9" fontId="2" fillId="13" borderId="7" applyNumberFormat="0">
      <alignment horizontal="center" vertical="center" wrapText="1"/>
    </xf>
    <xf numFmtId="9" fontId="5" fillId="13" borderId="3" applyNumberFormat="0">
      <alignment horizontal="left" vertical="center" wrapText="1"/>
    </xf>
    <xf numFmtId="0" fontId="66" fillId="0" borderId="1" applyFill="0" applyBorder="0" applyNumberFormat="0" applyAlignment="0" applyProtection="0"/>
  </cellStyleXfs>
  <cellXfs count="115">
    <xf numFmtId="0" fontId="0" fillId="0" borderId="1" xfId="0"/>
    <xf numFmtId="0" fontId="21" fillId="14" borderId="1" xfId="0">
      <alignment horizontal="left" vertical="center" indent="2"/>
    </xf>
    <xf numFmtId="0" fontId="20" fillId="14" borderId="1" xfId="0">
      <alignment horizontal="left" vertical="center" indent="2"/>
    </xf>
    <xf numFmtId="0" fontId="22" fillId="14" borderId="13" xfId="0">
      <alignment horizontal="center" vertical="center"/>
    </xf>
    <xf numFmtId="0" fontId="23" fillId="14" borderId="13" xfId="0" quotePrefix="1">
      <alignment horizontal="left" vertical="center"/>
    </xf>
    <xf numFmtId="0" fontId="24" fillId="14" borderId="13" xfId="0">
      <alignment horizontal="left" vertical="center"/>
    </xf>
    <xf numFmtId="0" fontId="22" fillId="14" borderId="13" xfId="0">
      <alignment horizontal="left" vertical="center"/>
    </xf>
    <xf numFmtId="0" fontId="23" fillId="14" borderId="13" xfId="0">
      <alignment horizontal="left" vertical="center" indent="1"/>
    </xf>
    <xf numFmtId="0" fontId="10" fillId="14" borderId="13" xfId="0"/>
    <xf numFmtId="0" fontId="23" fillId="14" borderId="13" xfId="0">
      <alignment horizontal="left" vertical="center"/>
    </xf>
    <xf numFmtId="0" fontId="10" fillId="14" borderId="1" xfId="0"/>
    <xf numFmtId="0" fontId="25" fillId="14" borderId="1" xfId="0" quotePrefix="1"/>
    <xf numFmtId="0" fontId="26" fillId="14" borderId="1" xfId="0" quotePrefix="1"/>
    <xf numFmtId="0" fontId="22" fillId="14" borderId="12" xfId="32">
      <alignment horizontal="left" vertical="center" indent="1"/>
    </xf>
    <xf numFmtId="0" fontId="22" fillId="14" borderId="19" xfId="32">
      <alignment horizontal="left" vertical="center" indent="1"/>
    </xf>
    <xf numFmtId="0" fontId="22" fillId="14" borderId="14" xfId="32">
      <alignment horizontal="left" vertical="center" indent="1"/>
    </xf>
    <xf numFmtId="0" fontId="22" fillId="14" borderId="12" xfId="0">
      <alignment horizontal="left" vertical="center" indent="1"/>
    </xf>
    <xf numFmtId="0" fontId="22" fillId="14" borderId="14" xfId="0">
      <alignment horizontal="left" vertical="center" indent="1"/>
    </xf>
    <xf numFmtId="0" fontId="10" fillId="14" borderId="14" xfId="0"/>
    <xf numFmtId="185" fontId="27" fillId="14" borderId="15" xfId="32">
      <alignment horizontal="left" vertical="center" indent="1"/>
    </xf>
    <xf numFmtId="185" fontId="27" fillId="14" borderId="1" xfId="32">
      <alignment horizontal="left" vertical="center" indent="1"/>
    </xf>
    <xf numFmtId="185" fontId="27" fillId="14" borderId="16" xfId="32">
      <alignment horizontal="left" vertical="center" indent="1"/>
    </xf>
    <xf numFmtId="171" fontId="27" fillId="14" borderId="15" xfId="32">
      <alignment horizontal="left" vertical="center" indent="1"/>
    </xf>
    <xf numFmtId="171" fontId="27" fillId="14" borderId="16" xfId="32">
      <alignment horizontal="left" vertical="center" indent="1"/>
    </xf>
    <xf numFmtId="3" fontId="27" fillId="14" borderId="15" xfId="32">
      <alignment horizontal="left" vertical="center" indent="1"/>
    </xf>
    <xf numFmtId="3" fontId="27" fillId="14" borderId="16" xfId="32">
      <alignment horizontal="left" vertical="center" indent="1"/>
    </xf>
    <xf numFmtId="189" fontId="27" fillId="14" borderId="15" xfId="32">
      <alignment horizontal="left" vertical="center" indent="1"/>
    </xf>
    <xf numFmtId="189" fontId="27" fillId="14" borderId="16" xfId="32">
      <alignment horizontal="left" vertical="center" indent="1"/>
    </xf>
    <xf numFmtId="171" fontId="27" fillId="14" borderId="15" xfId="0">
      <alignment horizontal="left" vertical="center" indent="1"/>
    </xf>
    <xf numFmtId="171" fontId="27" fillId="14" borderId="16" xfId="0">
      <alignment horizontal="left" vertical="center" indent="1"/>
    </xf>
    <xf numFmtId="0" fontId="10" fillId="14" borderId="16" xfId="0"/>
    <xf numFmtId="193" fontId="28" fillId="14" borderId="17" xfId="32">
      <alignment horizontal="left" vertical="center" indent="1"/>
    </xf>
    <xf numFmtId="193" fontId="28" fillId="14" borderId="20" xfId="32">
      <alignment horizontal="left" vertical="center" indent="1"/>
    </xf>
    <xf numFmtId="194" fontId="29" fillId="14" borderId="18" xfId="32">
      <alignment horizontal="left" vertical="center" indent="1"/>
    </xf>
    <xf numFmtId="195" fontId="28" fillId="14" borderId="17" xfId="32">
      <alignment horizontal="left" vertical="center" indent="1"/>
    </xf>
    <xf numFmtId="196" fontId="29" fillId="14" borderId="18" xfId="32">
      <alignment horizontal="left" vertical="center" indent="1"/>
    </xf>
    <xf numFmtId="197" fontId="28" fillId="14" borderId="17" xfId="0">
      <alignment horizontal="left" vertical="center" indent="1"/>
    </xf>
    <xf numFmtId="198" fontId="29" fillId="14" borderId="18" xfId="0">
      <alignment horizontal="left" vertical="center" indent="1"/>
    </xf>
    <xf numFmtId="198" fontId="29" fillId="14" borderId="17" xfId="0">
      <alignment horizontal="left" vertical="center" indent="1"/>
    </xf>
    <xf numFmtId="0" fontId="10" fillId="14" borderId="18" xfId="0"/>
    <xf numFmtId="0" fontId="20" fillId="14" borderId="12" xfId="0">
      <alignment horizontal="left" vertical="center" indent="2"/>
    </xf>
    <xf numFmtId="0" fontId="20" fillId="14" borderId="19" xfId="0">
      <alignment horizontal="left" vertical="center" indent="2"/>
    </xf>
    <xf numFmtId="0" fontId="10" fillId="14" borderId="19" xfId="0"/>
    <xf numFmtId="0" fontId="30" fillId="14" borderId="19" xfId="0">
      <alignment horizontal="right" vertical="center"/>
    </xf>
    <xf numFmtId="0" fontId="10" fillId="14" borderId="15" xfId="0"/>
    <xf numFmtId="0" fontId="10" fillId="14" borderId="17" xfId="0"/>
    <xf numFmtId="0" fontId="10" fillId="14" borderId="20" xfId="0"/>
    <xf numFmtId="0" fontId="31" fillId="14" borderId="1" xfId="0"/>
    <xf numFmtId="0" fontId="32" fillId="15" borderId="21" xfId="0">
      <alignment horizontal="center" vertical="center"/>
    </xf>
    <xf numFmtId="0" fontId="32" fillId="15" borderId="21" xfId="22" quotePrefix="1">
      <alignment horizontal="left" vertical="center" indent="1"/>
    </xf>
    <xf numFmtId="0" fontId="32" fillId="15" borderId="21" xfId="0" quotePrefix="1">
      <alignment horizontal="center" vertical="center"/>
    </xf>
    <xf numFmtId="0" fontId="48" fillId="8" borderId="6" xfId="0" quotePrefix="1">
      <alignment horizontal="center" vertical="center" wrapText="1"/>
    </xf>
    <xf numFmtId="0" fontId="49" fillId="14" borderId="1" xfId="0" quotePrefix="1">
      <alignment horizontal="center" vertical="center"/>
    </xf>
    <xf numFmtId="3" fontId="19" fillId="14" borderId="1" xfId="0" quotePrefix="1">
      <alignment horizontal="left" vertical="center"/>
    </xf>
    <xf numFmtId="3" fontId="50" fillId="14" borderId="1" xfId="0" quotePrefix="1">
      <alignment horizontal="left" vertical="center"/>
    </xf>
    <xf numFmtId="215" fontId="50" fillId="14" borderId="1" xfId="0" quotePrefix="1">
      <alignment horizontal="left" vertical="center"/>
    </xf>
    <xf numFmtId="3" fontId="19" fillId="14" borderId="1" xfId="0">
      <alignment horizontal="right" vertical="center"/>
    </xf>
    <xf numFmtId="182" fontId="19" fillId="14" borderId="1" xfId="0">
      <alignment horizontal="right" vertical="center"/>
    </xf>
    <xf numFmtId="171" fontId="19" fillId="14" borderId="1" xfId="0">
      <alignment horizontal="right" vertical="center"/>
    </xf>
    <xf numFmtId="184" fontId="19" fillId="14" borderId="1" xfId="0">
      <alignment horizontal="right" vertical="center"/>
    </xf>
    <xf numFmtId="171" fontId="19" fillId="14" borderId="1" xfId="36">
      <alignment horizontal="right" vertical="center"/>
    </xf>
    <xf numFmtId="3" fontId="48" fillId="0" borderId="3" xfId="36">
      <alignment horizontal="right" vertical="center"/>
    </xf>
    <xf numFmtId="171" fontId="48" fillId="0" borderId="3" xfId="2">
      <alignment horizontal="center" vertical="bottom"/>
    </xf>
    <xf numFmtId="0" fontId="49" fillId="14" borderId="1" xfId="0">
      <alignment horizontal="center" vertical="center"/>
    </xf>
    <xf numFmtId="0" fontId="19" fillId="14" borderId="1" xfId="0">
      <alignment horizontal="left" vertical="center"/>
    </xf>
    <xf numFmtId="0" fontId="50" fillId="14" borderId="1" xfId="0">
      <alignment horizontal="left" vertical="center"/>
    </xf>
    <xf numFmtId="0" fontId="10" fillId="17" borderId="1" xfId="0"/>
    <xf numFmtId="0" fontId="35" fillId="17" borderId="1" xfId="0">
      <alignment horizontal="left" vertical="center" indent="1"/>
    </xf>
    <xf numFmtId="0" fontId="35" fillId="17" borderId="1" xfId="0">
      <alignment horizontal="left" vertical="center"/>
    </xf>
    <xf numFmtId="0" fontId="10" fillId="0" borderId="25" xfId="0"/>
    <xf numFmtId="0" fontId="36" fillId="17" borderId="25" xfId="0">
      <alignment horizontal="left" vertical="center" indent="1"/>
    </xf>
    <xf numFmtId="0" fontId="36" fillId="17" borderId="25" xfId="0">
      <alignment horizontal="left" vertical="center"/>
    </xf>
    <xf numFmtId="0" fontId="10" fillId="17" borderId="25" xfId="0"/>
    <xf numFmtId="0" fontId="37" fillId="14" borderId="1" xfId="0">
      <alignment horizontal="left" vertical="center"/>
    </xf>
    <xf numFmtId="0" fontId="38" fillId="14" borderId="1" xfId="0">
      <alignment horizontal="left" vertical="center"/>
    </xf>
    <xf numFmtId="0" fontId="33" fillId="14" borderId="1" xfId="0">
      <alignment horizontal="left" vertical="center"/>
    </xf>
    <xf numFmtId="0" fontId="30" fillId="14" borderId="1" xfId="0">
      <alignment horizontal="right" vertical="center"/>
    </xf>
    <xf numFmtId="0" fontId="32" fillId="15" borderId="21" xfId="0">
      <alignment horizontal="left" vertical="center" indent="1"/>
    </xf>
    <xf numFmtId="0" fontId="32" fillId="15" borderId="21" xfId="0">
      <alignment horizontal="center" vertical="center" wrapText="1"/>
    </xf>
    <xf numFmtId="0" fontId="23" fillId="18" borderId="20" xfId="0">
      <alignment horizontal="left" vertical="center" indent="1"/>
    </xf>
    <xf numFmtId="189" fontId="23" fillId="18" borderId="20" xfId="0">
      <alignment horizontal="right" vertical="center"/>
    </xf>
    <xf numFmtId="0" fontId="10" fillId="18" borderId="20" xfId="0"/>
    <xf numFmtId="0" fontId="39" fillId="16" borderId="20" xfId="0">
      <alignment horizontal="left" vertical="center" indent="1"/>
    </xf>
    <xf numFmtId="189" fontId="39" fillId="16" borderId="20" xfId="0">
      <alignment horizontal="right" vertical="center"/>
    </xf>
    <xf numFmtId="171" fontId="34" fillId="16" borderId="20" xfId="0">
      <alignment horizontal="right" vertical="center"/>
    </xf>
    <xf numFmtId="0" fontId="29" fillId="20" borderId="20" xfId="0">
      <alignment horizontal="left" vertical="center" indent="1"/>
    </xf>
    <xf numFmtId="210" fontId="46" fillId="20" borderId="20" xfId="0">
      <alignment horizontal="right" vertical="center"/>
    </xf>
    <xf numFmtId="211" fontId="47" fillId="20" borderId="20" xfId="0">
      <alignment horizontal="right" vertical="center"/>
    </xf>
    <xf numFmtId="0" fontId="29" fillId="19" borderId="22" xfId="0">
      <alignment horizontal="left" vertical="center" indent="1"/>
    </xf>
    <xf numFmtId="203" fontId="40" fillId="19" borderId="22" xfId="0">
      <alignment horizontal="right" vertical="center"/>
    </xf>
    <xf numFmtId="0" fontId="30" fillId="19" borderId="22" xfId="0">
      <alignment horizontal="center" vertical="center"/>
    </xf>
    <xf numFmtId="0" fontId="41" fillId="18" borderId="23" xfId="0">
      <alignment horizontal="left" vertical="center" indent="1"/>
    </xf>
    <xf numFmtId="3" fontId="41" fillId="18" borderId="23" xfId="0">
      <alignment horizontal="right" vertical="center"/>
    </xf>
    <xf numFmtId="4" fontId="34" fillId="18" borderId="23" xfId="0">
      <alignment horizontal="center" vertical="center"/>
    </xf>
    <xf numFmtId="4" fontId="41" fillId="18" borderId="23" xfId="0">
      <alignment horizontal="right" vertical="center"/>
    </xf>
    <xf numFmtId="0" fontId="19" fillId="14" borderId="1" xfId="0">
      <alignment horizontal="left" vertical="center" indent="1"/>
    </xf>
    <xf numFmtId="4" fontId="19" fillId="14" borderId="1" xfId="0">
      <alignment horizontal="right" vertical="center"/>
    </xf>
    <xf numFmtId="0" fontId="36" fillId="17" borderId="1" xfId="0">
      <alignment horizontal="left" vertical="center"/>
    </xf>
    <xf numFmtId="0" fontId="42" fillId="14" borderId="1" xfId="0">
      <alignment horizontal="left" vertical="center"/>
    </xf>
    <xf numFmtId="0" fontId="43" fillId="0" borderId="1" xfId="0"/>
    <xf numFmtId="0" fontId="25" fillId="0" borderId="1" xfId="0" quotePrefix="1"/>
    <xf numFmtId="0" fontId="26" fillId="0" borderId="1" xfId="0" quotePrefix="1"/>
    <xf numFmtId="0" fontId="34" fillId="14" borderId="1" xfId="0">
      <alignment horizontal="center" vertical="center"/>
    </xf>
    <xf numFmtId="0" fontId="34" fillId="14" borderId="1" xfId="0">
      <alignment horizontal="left" vertical="center" indent="1"/>
    </xf>
    <xf numFmtId="189" fontId="19" fillId="14" borderId="1" xfId="0">
      <alignment horizontal="right" vertical="center"/>
    </xf>
    <xf numFmtId="205" fontId="19" fillId="14" borderId="1" xfId="0">
      <alignment horizontal="right" vertical="center"/>
    </xf>
    <xf numFmtId="0" fontId="10" fillId="19" borderId="22" xfId="0"/>
    <xf numFmtId="189" fontId="44" fillId="19" borderId="22" xfId="0">
      <alignment horizontal="right" vertical="center"/>
    </xf>
    <xf numFmtId="0" fontId="19" fillId="16" borderId="20" xfId="0">
      <alignment horizontal="left" vertical="center" indent="1"/>
    </xf>
    <xf numFmtId="0" fontId="10" fillId="16" borderId="20" xfId="0"/>
    <xf numFmtId="189" fontId="19" fillId="16" borderId="20" xfId="0">
      <alignment horizontal="right" vertical="center"/>
    </xf>
    <xf numFmtId="0" fontId="41" fillId="19" borderId="24" xfId="0">
      <alignment horizontal="left" vertical="center" indent="1"/>
    </xf>
    <xf numFmtId="0" fontId="10" fillId="19" borderId="24" xfId="0"/>
    <xf numFmtId="208" fontId="45" fillId="19" borderId="24" xfId="0">
      <alignment horizontal="right" vertical="center"/>
    </xf>
    <xf numFmtId="209" fontId="34" fillId="19" borderId="24" xfId="0">
      <alignment horizontal="right" vertical="center"/>
    </xf>
  </cellXfs>
  <cellStyles count="116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lignment H&amp;V center" xfId="11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Hyperlnk row header underlined bold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ercent" xfId="1" builtinId="5"/>
    <cellStyle name="Placeholder_Header" xfId="98"/>
    <cellStyle name="Subtotal_head" xfId="99"/>
    <cellStyle name="Subtotal_Head_C" xfId="100"/>
    <cellStyle name="TGK_TOC_REPORT_ROW" xfId="92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14"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sz val="8.5"/>
        <color rgb="FF1E9E89"/>
        <name val="Arial"/>
      </font>
    </dxf>
    <dxf>
      <font>
        <sz val="8.5"/>
        <color rgb="FFD64545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sz val="9"/>
        <color rgb="FF1E9E89"/>
        <name val="Arial"/>
      </font>
    </dxf>
    <dxf>
      <font>
        <sz val="9"/>
        <color rgb="FFD64545"/>
        <name val="Arial"/>
      </font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sz val="8.5"/>
        <color rgb="FF00B050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9.4305936708143856E-2"/>
          <c:y val="4.0668570274869489E-2"/>
          <c:w val="0.87878275349124646"/>
          <c:h val="0.81369040408410487"/>
        </c:manualLayout>
      </c:layout>
      <c:barChart chartType="6">
        <c:ser seriesType="0">
          <c:idx val="0"/>
          <c:order val="0"/>
          <c:tx>
            <c:v>2024</c:v>
          </c:tx>
          <c:invertIfNegative val="0"/>
          <c:cat>
            <c:strRef>
              <c:f>Cockpit!$AK$7:$AK$11</c:f>
            </c:strRef>
          </c:cat>
          <c:val>
            <c:numRef>
              <c:f>Cockpit!$AL$7:$AL$11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v>2025</c:v>
          </c:tx>
          <c:invertIfNegative val="0"/>
          <c:cat>
            <c:strRef>
              <c:f>Cockpit!$AK$7:$AK$11</c:f>
            </c:strRef>
          </c:cat>
          <c:val>
            <c:numRef>
              <c:f>Cockpit!$AM$7:$AM$11</c:f>
              <c:numCache>
                <c:formatCode>General</c:formatCode>
              </c:numCache>
            </c:numRef>
          </c:val>
          <c:extLst/>
          <c:spPr/>
        </c:ser>
        <c:ser seriesType="0">
          <c:idx val="2"/>
          <c:order val="2"/>
          <c:tx>
            <c:v>2026</c:v>
          </c:tx>
          <c:invertIfNegative val="0"/>
          <c:cat>
            <c:strRef>
              <c:f>Cockpit!$AK$7:$AK$11</c:f>
            </c:strRef>
          </c:cat>
          <c:val>
            <c:numRef>
              <c:f>Cockpit!$AN$7:$AN$11</c:f>
              <c:numCache>
                <c:formatCode>General</c:formatCode>
              </c:numCache>
            </c:numRef>
          </c:val>
          <c:extLst/>
          <c:spPr/>
        </c:ser>
        <c:axId val="30309242"/>
        <c:axId val="84920721"/>
        <c:barDir val="col"/>
        <c:grouping val="clustered"/>
        <c:gapWidth val="60"/>
        <c:varyColors val="1"/>
        <c:overlap val="-10"/>
      </c:barChart>
      <c:catAx axisType="0">
        <c:axId val="3030924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84920721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8492072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0309242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0045951494916516"/>
          <c:y val="0.9117842000519166"/>
          <c:w val="0.6912392417367639"/>
          <c:h val="0.06623777797006143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0136779585598484"/>
          <c:y val="4.1350166424727636E-2"/>
          <c:w val="0.86259616810797912"/>
          <c:h val="0.83291426560506754"/>
        </c:manualLayout>
      </c:layout>
      <c:lineChart chartType="8">
        <c:ser seriesType="2">
          <c:idx val="0"/>
          <c:order val="0"/>
          <c:tx>
            <c:v>Dépenses</c:v>
          </c:tx>
          <c:marker>
            <c:symbol val="circle"/>
            <c:size val="6"/>
            <c:spPr>
              <a:solidFill>
                <a:srgbClr val="f07b32"/>
              </a:solidFill>
              <a:ln w="9525">
                <a:solidFill>
                  <a:srgbClr val="f07b32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Cockpit!$BC$7:$BC$9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ser seriesType="2">
          <c:idx val="1"/>
          <c:order val="1"/>
          <c:tx>
            <c:v>Inscrits</c:v>
          </c:tx>
          <c:marker>
            <c:symbol val="circle"/>
            <c:size val="6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</c:spPr>
          </c:marker>
          <c:cat>
            <c:strRef>
              <c:f>Cockpit!$BB$7:$BB$9</c:f>
            </c:strRef>
          </c:cat>
          <c:val>
            <c:numRef>
              <c:f>Cockpit!$BD$7:$BD$9</c:f>
              <c:numCache>
                <c:formatCode>General</c:formatCode>
              </c:numCache>
            </c:numRef>
          </c:val>
          <c:smooth val="0"/>
          <c:extLst/>
          <c:spPr>
            <a:ln w="19050"/>
          </c:spPr>
        </c:ser>
        <c:axId val="31984488"/>
        <c:axId val="11670885"/>
        <c:grouping val="standard"/>
        <c:varyColors val="1"/>
        <c:smooth val="0"/>
        <c:marker val="1"/>
      </c:lineChart>
      <c:catAx axisType="0">
        <c:axId val="31984488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11670885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11670885"/>
        <c:delete val="0"/>
        <c:majorTickMark val="none"/>
        <c:minorTickMark val="none"/>
        <c:tickLblPos val="nextTo"/>
        <c:axPos val="l"/>
        <c:scaling>
          <c:orientation val="minMax"/>
          <c:max val="125"/>
          <c:min val="95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majorUnit val="10"/>
        <c:crosses val="autoZero"/>
        <c:crossBetween val="between"/>
        <c:crossAx val="31984488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099803052873919"/>
          <c:y val="0.9103057229578146"/>
          <c:w val="0.8429816788871906"/>
          <c:h val="0.06734790832710157"/>
        </c:manualLayout>
      </c:layout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tx>
            <c:strRef>
              <c:f>Cockpit!$AD$6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Cockpit!$AD$7:$AD$11</c:f>
              <c:numCache>
                <c:formatCode>General</c:formatCode>
              </c:numCache>
            </c:numRef>
          </c:val>
          <c:extLst/>
          <c:spPr/>
        </c:ser>
        <c:ser seriesType="0">
          <c:idx val="1"/>
          <c:order val="1"/>
          <c:tx>
            <c:strRef>
              <c:f>Cockpit!$AE$6</c:f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Cockpit!$AE$7:$AE$11</c:f>
              <c:numCache>
                <c:formatCode>General</c:formatCode>
              </c:numCache>
            </c:numRef>
          </c:val>
          <c:extLst/>
        </c:ser>
        <c:ser seriesType="0">
          <c:idx val="2"/>
          <c:order val="2"/>
          <c:tx>
            <c:strRef>
              <c:f>Cockpit!$AF$6</c:f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Cockpit!$AF$7:$AF$11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tx>
            <c:strRef>
              <c:f>Cockpit!$AG$6</c:f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</c:strRef>
          </c:cat>
          <c:val>
            <c:numRef>
              <c:f>Cockpit!$AG$7:$AG$11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4"/>
          <c:order val="4"/>
          <c:tx>
            <c:strRef>
              <c:f>Cockpit!$AH$6</c:f>
            </c:strRef>
          </c:tx>
          <c:invertIfNegative val="1"/>
          <c:cat>
            <c:strRef>
              <c:f>Cockpit!$AD$7:$AD$11</c:f>
            </c:strRef>
          </c:cat>
          <c:val>
            <c:numRef>
              <c:f>Cockpit!$AH$7:$AH$11</c:f>
              <c:numCache>
                <c:formatCode>General</c:formatCode>
              </c:numCache>
            </c:numRef>
          </c:val>
          <c:extLst/>
          <c:spPr/>
        </c:ser>
        <c:axId val="86877382"/>
        <c:axId val="76148799"/>
        <c:barDir val="col"/>
        <c:grouping val="stacked"/>
        <c:gapWidth val="55"/>
        <c:varyColors val="1"/>
        <c:overlap val="100"/>
      </c:barChart>
      <c:catAx axisType="0">
        <c:axId val="8687738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76148799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7614879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.0,,&quot; M€&quot;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86877382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/>
      <c:barChart chartType="6">
        <c:ser seriesType="0"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1'!$Z$30:$Z$36</c:f>
              <c:numCache>
                <c:formatCode>General</c:formatCode>
              </c:numCache>
            </c:numRef>
          </c:val>
          <c:extLst/>
        </c:ser>
        <c:ser seriesType="0"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1'!$AA$30:$AA$36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1'!$AB$30:$AB$36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EBITDA 1'!$Y$30:$Y$36</c:f>
            </c:strRef>
          </c:cat>
          <c:val>
            <c:numRef>
              <c:f>'Drill EBITDA 1'!$AC$30:$AC$36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54992071"/>
        <c:axId val="80811064"/>
        <c:barDir val="col"/>
        <c:grouping val="stacked"/>
        <c:gapWidth val="45"/>
        <c:varyColors val="1"/>
        <c:overlap val="100"/>
      </c:barChart>
      <c:catAx axisType="0">
        <c:axId val="54992071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80811064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ickMarkSkip val="1"/>
      </c:catAx>
      <c:valAx axisType="3">
        <c:axId val="80811064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54992071"/>
      </c:valAx>
      <c:spPr>
        <a:noFill/>
        <a:ln>
          <a:noFill/>
        </a:ln>
      </c:spPr>
    </c:plotArea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autoTitleDeleted val="1"/>
    <c:plotArea>
      <c:layout>
        <c:manualLayout>
          <c:layoutTarget val="inner"/>
          <c:xMode val="edge"/>
          <c:yMode val="edge"/>
          <c:x val="0.1471013952203343"/>
          <c:y val="3.8194444444444448E-2"/>
          <c:w val="0.80246884928857576"/>
          <c:h val="0.78582470802943238"/>
        </c:manualLayout>
      </c:layout>
      <c:barChart chartType="6">
        <c:ser seriesType="0">
          <c:idx val="0"/>
          <c:order val="0"/>
          <c:tx>
            <c:strRef>
              <c:f>'Drill EBITDA 2'!$K$33</c:f>
            </c:strRef>
          </c:tx>
          <c:spPr>
            <a:solidFill>
              <a:srgbClr val="b8cfec"/>
            </a:solidFill>
            <a:ln>
              <a:noFill/>
              <a:prstDash val="solid"/>
            </a:ln>
          </c:spPr>
          <c:invertIfNegative val="1"/>
          <c:val>
            <c:numRef>
              <c:f>'Drill EBITDA 2'!$K$35:$K$47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 seriesType="0">
          <c:idx val="1"/>
          <c:order val="1"/>
          <c:tx>
            <c:strRef>
              <c:f>'Drill EBITDA 2'!$L$33</c:f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val>
            <c:numRef>
              <c:f>'Drill EBITDA 2'!$L$35:$L$47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axId val="35044524"/>
        <c:axId val="18597386"/>
        <c:barDir val="bar"/>
        <c:grouping val="clustered"/>
        <c:gapWidth val="45"/>
        <c:varyColors val="1"/>
        <c:overlap val="-15"/>
      </c:barChart>
      <c:catAx axisType="0">
        <c:axId val="35044524"/>
        <c:scaling>
          <c:orientation val="minMax"/>
        </c:scaling>
        <c:delete val="0"/>
        <c:axPos val="l"/>
        <c:numFmt formatCode="#,##0,&quot; k€&quot;" sourceLinked="0"/>
        <c:majorTickMark val="none"/>
        <c:minorTickMark val="none"/>
        <c:tickLblPos val="nextTo"/>
        <c:crossAx val="18597386"/>
        <c:crosses val="autoZero"/>
        <c:auto val="1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tickMarkSkip val="1"/>
      </c:catAx>
      <c:valAx axisType="3">
        <c:axId val="18597386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5044524"/>
      </c:valAx>
      <c:spPr>
        <a:noFill/>
        <a:ln>
          <a:noFill/>
        </a:ln>
      </c:spPr>
    </c:plotArea>
    <c:legend>
      <c:legendPos val="b"/>
      <c:overlay val="1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0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txPr>
    <a:bodyPr/>
    <a:p>
      <a:pPr>
        <a:defRPr/>
      </a:pPr>
      <a:r>
        <a:rPr/>
        <a:t/>
      </a:r>
      <a:endParaRPr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514349</xdr:colOff>
      <xdr:row>12</xdr:row>
      <xdr:rowOff>76200</xdr:rowOff>
    </xdr:from>
    <xdr:to>
      <xdr:col>13</xdr:col>
      <xdr:colOff>152400</xdr:colOff>
      <xdr:row>31</xdr:row>
      <xdr:rowOff>104775</xdr:rowOff>
    </xdr:to>
    <xdr:graphicFrame>
      <xdr:nvGraphicFramePr>
        <xdr:cNvPr id="3" name="Chart 2"/>
        <xdr:cNvGraphicFramePr>
          <a:graphicFrameLocks noChangeAspect="0"/>
        </xdr:cNvGraphicFramePr>
      </xdr:nvGraphicFramePr>
      <xdr:xfrm>
        <a:off x="7067549" y="2543175"/>
        <a:ext cx="5191126" cy="3467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285749</xdr:colOff>
      <xdr:row>11</xdr:row>
      <xdr:rowOff>180974</xdr:rowOff>
    </xdr:from>
    <xdr:to>
      <xdr:col>29</xdr:col>
      <xdr:colOff>457200</xdr:colOff>
      <xdr:row>31</xdr:row>
      <xdr:rowOff>76199</xdr:rowOff>
    </xdr:to>
    <xdr:graphicFrame>
      <xdr:nvGraphicFramePr>
        <xdr:cNvPr id="4" name="Chart 3"/>
        <xdr:cNvGraphicFramePr>
          <a:graphicFrameLocks noChangeAspect="0"/>
        </xdr:cNvGraphicFramePr>
      </xdr:nvGraphicFramePr>
      <xdr:xfrm>
        <a:off x="12392024" y="2466974"/>
        <a:ext cx="4629151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20579" b="34332"/>
        <a:stretch/>
      </xdr:blipFill>
      <xdr:spPr>
        <a:xfrm>
          <a:off x="723900" y="133350"/>
          <a:ext cx="1497000" cy="54487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180974</xdr:colOff>
      <xdr:row>13</xdr:row>
      <xdr:rowOff>0</xdr:rowOff>
    </xdr:from>
    <xdr:to>
      <xdr:col>6</xdr:col>
      <xdr:colOff>619125</xdr:colOff>
      <xdr:row>31</xdr:row>
      <xdr:rowOff>57150</xdr:rowOff>
    </xdr:to>
    <xdr:graphicFrame>
      <xdr:nvGraphicFramePr>
        <xdr:cNvPr id="7" name="Chart 1"/>
        <xdr:cNvGraphicFramePr>
          <a:graphicFrameLocks noChangeAspect="0"/>
        </xdr:cNvGraphicFramePr>
      </xdr:nvGraphicFramePr>
      <xdr:xfrm>
        <a:off x="323850" y="2647950"/>
        <a:ext cx="4772025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8</xdr:row>
      <xdr:rowOff>161925</xdr:rowOff>
    </xdr:from>
    <xdr:to>
      <xdr:col>13</xdr:col>
      <xdr:colOff>561975</xdr:colOff>
      <xdr:row>26</xdr:row>
      <xdr:rowOff>123825</xdr:rowOff>
    </xdr:to>
    <xdr:graphicFrame>
      <xdr:nvGraphicFramePr>
        <xdr:cNvPr id="3" name="Chart 1"/>
        <xdr:cNvGraphicFramePr>
          <a:graphicFrameLocks noChangeAspect="0"/>
        </xdr:cNvGraphicFramePr>
      </xdr:nvGraphicFramePr>
      <xdr:xfrm>
        <a:off x="4162425" y="1609725"/>
        <a:ext cx="8229600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76200</xdr:colOff>
      <xdr:row>0</xdr:row>
      <xdr:rowOff>95250</xdr:rowOff>
    </xdr:from>
    <xdr:to>
      <xdr:col>1</xdr:col>
      <xdr:colOff>1649400</xdr:colOff>
      <xdr:row>3</xdr:row>
      <xdr:rowOff>97195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238125" y="95250"/>
          <a:ext cx="1573200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</xdr:row>
      <xdr:rowOff>85724</xdr:rowOff>
    </xdr:from>
    <xdr:to>
      <xdr:col>7</xdr:col>
      <xdr:colOff>390525</xdr:colOff>
      <xdr:row>27</xdr:row>
      <xdr:rowOff>47624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314325" y="1504949"/>
        <a:ext cx="723900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123825</xdr:rowOff>
    </xdr:from>
    <xdr:to>
      <xdr:col>2</xdr:col>
      <xdr:colOff>858825</xdr:colOff>
      <xdr:row>2</xdr:row>
      <xdr:rowOff>154345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rgbClr val="e8e8e8">
              <a:shade val="45000"/>
              <a:satMod val="135000"/>
            </a:srgbClr>
            <a:srgbClr val="ffffff"/>
          </a:duotone>
        </a:blip>
        <a:srcRect l="0" r="0" t="20579" b="34332"/>
        <a:stretch/>
      </xdr:blipFill>
      <xdr:spPr>
        <a:xfrm>
          <a:off x="114300" y="123825"/>
          <a:ext cx="1506525" cy="54487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DA31A5-C3B8-2A03-AFB3-DC8245393948}" mc:Ignorable="x14ac xr xr2 xr3">
  <dimension ref="A1:X34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'Drill EBITDA 2'!A65524</f>
        <v>0</v>
      </c>
    </row>
    <row r="2" ht="14.25" customHeight="1">
      <c r="A2" t="s">
        <v>1</v>
      </c>
      <c r="B2">
        <f>Cockpit!A65557</f>
        <v>0</v>
      </c>
    </row>
    <row r="3" ht="14.25" customHeight="1">
      <c r="A3" t="s">
        <v>2</v>
      </c>
      <c r="B3">
        <f>'Drill EBITDA 1'!A65536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54D979-0207-27D8-52E8-5E23901BAD18}" mc:Ignorable="x14ac xr xr2 xr3">
  <dimension ref="A1:BK106"/>
  <sheetViews>
    <sheetView topLeftCell="A22" workbookViewId="0" tabSelected="1">
      <selection activeCell="A33" sqref="A13:BK33"/>
    </sheetView>
  </sheetViews>
  <sheetFormatPr defaultRowHeight="14.25" defaultColWidth="9.140625" customHeight="1"/>
  <cols>
    <col min="1" max="2" style="10" width="2.421875" customWidth="1"/>
    <col min="3" max="10" style="10" width="15.57421875" customWidth="1"/>
    <col min="11" max="11" style="10" width="21.00390625" customWidth="1"/>
    <col min="12" max="17" style="10" width="15.57421875" customWidth="1"/>
    <col min="18" max="18" style="10" width="15.57421875" hidden="1" customWidth="1"/>
    <col min="19" max="19" style="10" width="11.140625" hidden="1" customWidth="1"/>
    <col min="20" max="20" style="10" width="11.421875" hidden="1" customWidth="1"/>
    <col min="21" max="21" style="10" width="11.57421875" hidden="1" customWidth="1"/>
    <col min="22" max="22" style="10" width="9.28125" hidden="1" customWidth="1"/>
    <col min="23" max="23" style="10" width="12.57421875" hidden="1" customWidth="1"/>
    <col min="24" max="24" style="10" width="15.57421875" hidden="1" customWidth="1"/>
    <col min="25" max="25" style="10" width="10.00390625" hidden="1" customWidth="1"/>
    <col min="26" max="26" style="10" width="11.28125" hidden="1" customWidth="1"/>
    <col min="27" max="27" style="10" width="14.00390625" hidden="1" customWidth="1"/>
    <col min="28" max="28" style="10" width="17.28125" hidden="1" customWidth="1"/>
    <col min="29" max="29" style="10" width="4.57421875" customWidth="1"/>
    <col min="30" max="30" style="10" width="9.28125" customWidth="1"/>
    <col min="31" max="53" style="10" width="10.7109375" customWidth="1"/>
    <col min="54" max="54" style="10" width="9.57421875" customWidth="1"/>
    <col min="55" max="55" style="10" width="14.00390625" customWidth="1"/>
    <col min="56" max="56" style="10" width="12.8515625" customWidth="1"/>
    <col min="57" max="57" style="10" width="4.57421875" customWidth="1"/>
    <col min="58" max="58" style="10" width="9.28125" customWidth="1"/>
    <col min="59" max="59" style="10" width="10.00390625" customWidth="1"/>
    <col min="60" max="60" style="10" width="8.8515625" customWidth="1"/>
    <col min="61" max="63" style="10" width="10.7109375" customWidth="1"/>
    <col min="64" max="64" width="9.140625" customWidth="1"/>
  </cols>
  <sheetData>
    <row r="1" ht="8.25" customHeight="1"/>
    <row r="2" ht="26.25" customHeight="1">
      <c r="G2" s="1" t="s">
        <v>3</v>
      </c>
      <c r="H2" s="1"/>
      <c r="I2" s="1"/>
      <c r="J2" s="1"/>
      <c r="K2" s="1"/>
    </row>
    <row r="3" ht="20.25" customHeight="1">
      <c r="G3" s="2" t="s">
        <v>4</v>
      </c>
      <c r="H3" s="2"/>
      <c r="I3" s="2"/>
      <c r="J3" s="2"/>
      <c r="K3" s="2"/>
    </row>
    <row r="4" ht="10.5" customHeight="1"/>
    <row r="5" ht="20.25" customHeight="1">
      <c r="C5" s="3" t="s">
        <v>5</v>
      </c>
      <c r="D5" s="3"/>
      <c r="E5" s="3"/>
      <c r="F5" s="4" t="s">
        <v>6</v>
      </c>
      <c r="G5" s="5"/>
      <c r="H5" s="6"/>
      <c r="I5" s="7"/>
      <c r="J5" s="7" t="s">
        <v>7</v>
      </c>
      <c r="K5" s="7" t="s">
        <v>8</v>
      </c>
      <c r="L5" s="8"/>
      <c r="M5" s="6" t="s">
        <v>9</v>
      </c>
      <c r="N5" s="4" t="s">
        <v>10</v>
      </c>
      <c r="O5" s="9"/>
      <c r="P5" s="8"/>
      <c r="Q5" s="8"/>
      <c r="R5" s="8"/>
      <c r="AD5" s="10" t="s">
        <v>11</v>
      </c>
    </row>
    <row r="6" ht="17.25" customHeight="1">
      <c r="AD6" s="11" t="s">
        <v>12</v>
      </c>
      <c r="AE6" s="12" t="s">
        <v>13</v>
      </c>
      <c r="AF6" s="12" t="s">
        <v>14</v>
      </c>
      <c r="AG6" s="12" t="s">
        <v>15</v>
      </c>
      <c r="AH6" s="12" t="s">
        <v>16</v>
      </c>
      <c r="AI6" s="12"/>
      <c r="AK6" s="11" t="s">
        <v>17</v>
      </c>
      <c r="AL6" s="12" t="s">
        <v>18</v>
      </c>
      <c r="AM6" s="12" t="s">
        <v>19</v>
      </c>
      <c r="AN6" s="12" t="s">
        <v>20</v>
      </c>
      <c r="AO6" s="12"/>
      <c r="AP6" s="12"/>
      <c r="AQ6" s="12"/>
      <c r="AR6" s="12"/>
      <c r="AS6" s="12"/>
      <c r="AT6" s="12"/>
      <c r="AU6" s="12"/>
      <c r="AV6" s="12"/>
      <c r="AW6" s="12"/>
      <c r="BB6" s="12" t="s">
        <v>21</v>
      </c>
      <c r="BC6" s="12" t="s">
        <v>22</v>
      </c>
      <c r="BD6" s="12" t="s">
        <v>23</v>
      </c>
      <c r="BE6" s="12"/>
      <c r="BF6" s="12"/>
      <c r="BG6" s="12"/>
      <c r="BH6" s="12"/>
    </row>
    <row r="7" ht="9.75" customHeight="1">
      <c r="AD7" s="12" t="s">
        <v>24</v>
      </c>
      <c r="AE7" s="12">
        <v>0</v>
      </c>
      <c r="AF7" s="12">
        <v>3467793</v>
      </c>
      <c r="AG7" s="12">
        <v>0</v>
      </c>
      <c r="AH7" s="12">
        <v>0</v>
      </c>
      <c r="AI7" s="12"/>
      <c r="AK7" s="12" t="s">
        <v>25</v>
      </c>
      <c r="AL7" s="12">
        <v>0.1189</v>
      </c>
      <c r="AM7" s="12">
        <v>0.1298</v>
      </c>
      <c r="AN7" s="12">
        <v>0.1416</v>
      </c>
      <c r="AO7" s="12"/>
      <c r="AP7" s="12"/>
      <c r="AQ7" s="12"/>
      <c r="AR7" s="12"/>
      <c r="AS7" s="12"/>
      <c r="AT7" s="12"/>
      <c r="AU7" s="12"/>
      <c r="AW7" s="11"/>
      <c r="BB7" s="12" t="s">
        <v>26</v>
      </c>
      <c r="BC7" s="12">
        <v>100</v>
      </c>
      <c r="BD7" s="12">
        <v>100</v>
      </c>
      <c r="BE7" s="12"/>
      <c r="BF7" s="12"/>
      <c r="BG7" s="12"/>
      <c r="BH7" s="12"/>
      <c r="BJ7" s="10">
        <f t="shared" si="0" ref="BJ7:BJ11">IF($AE7="","",$AE7)</f>
        <v>0</v>
      </c>
    </row>
    <row r="8" ht="12.75" customHeight="1">
      <c r="C8" s="13" t="s">
        <v>27</v>
      </c>
      <c r="D8" s="14"/>
      <c r="E8" s="14"/>
      <c r="F8" s="15"/>
      <c r="G8" s="13" t="s">
        <v>28</v>
      </c>
      <c r="H8" s="15"/>
      <c r="I8" s="13" t="s">
        <v>29</v>
      </c>
      <c r="J8" s="15"/>
      <c r="K8" s="13" t="s">
        <v>30</v>
      </c>
      <c r="L8" s="15"/>
      <c r="M8" s="13" t="s">
        <v>31</v>
      </c>
      <c r="N8" s="15"/>
      <c r="O8" s="16" t="s">
        <v>32</v>
      </c>
      <c r="P8" s="17"/>
      <c r="Q8" s="16"/>
      <c r="R8" s="18"/>
      <c r="AD8" s="10" t="s">
        <v>33</v>
      </c>
      <c r="AE8" s="10">
        <v>3467793</v>
      </c>
      <c r="AF8" s="10">
        <v>0</v>
      </c>
      <c r="AG8" s="10">
        <v>1157203</v>
      </c>
      <c r="AH8" s="10">
        <v>0</v>
      </c>
      <c r="AK8" s="10" t="s">
        <v>34</v>
      </c>
      <c r="AL8" s="10">
        <v>0.1581</v>
      </c>
      <c r="AM8" s="10">
        <v>0.1643</v>
      </c>
      <c r="AN8" s="10">
        <v>0.1717</v>
      </c>
      <c r="BB8" s="10" t="s">
        <v>35</v>
      </c>
      <c r="BC8" s="10">
        <v>110</v>
      </c>
      <c r="BD8" s="10">
        <v>106.1</v>
      </c>
      <c r="BJ8" s="10">
        <f t="shared" si="0"/>
        <v>3467793</v>
      </c>
    </row>
    <row r="9" ht="26.25" customHeight="1">
      <c r="C9" s="19">
        <f>F38</f>
        <v>23098985</v>
      </c>
      <c r="D9" s="20"/>
      <c r="E9" s="20"/>
      <c r="F9" s="21"/>
      <c r="G9" s="19">
        <f>H38</f>
        <v>3845816.907756</v>
      </c>
      <c r="H9" s="21"/>
      <c r="I9" s="22">
        <f t="shared" si="1" ref="I9:K9">K38</f>
        <v>0.166492896019284</v>
      </c>
      <c r="J9" s="23"/>
      <c r="K9" s="24">
        <f t="shared" si="1"/>
        <v>1229</v>
      </c>
      <c r="L9" s="25"/>
      <c r="M9" s="26">
        <f>U38/M38</f>
        <v>353.274206672091</v>
      </c>
      <c r="N9" s="27"/>
      <c r="O9" s="28">
        <f>N38</f>
        <v>0.76174168297456</v>
      </c>
      <c r="P9" s="29"/>
      <c r="Q9" s="28"/>
      <c r="R9" s="30"/>
      <c r="AD9" s="10" t="s">
        <v>36</v>
      </c>
      <c r="AE9" s="10">
        <v>4624390</v>
      </c>
      <c r="AF9" s="10">
        <v>0</v>
      </c>
      <c r="AG9" s="10">
        <v>0</v>
      </c>
      <c r="AH9" s="10">
        <v>607</v>
      </c>
      <c r="AK9" s="10" t="s">
        <v>37</v>
      </c>
      <c r="AL9" s="10">
        <v>0.1651</v>
      </c>
      <c r="AM9" s="10">
        <v>0.1732</v>
      </c>
      <c r="AN9" s="10">
        <v>0.1825</v>
      </c>
      <c r="BB9" s="10" t="s">
        <v>38</v>
      </c>
      <c r="BC9" s="10">
        <v>121</v>
      </c>
      <c r="BD9" s="10">
        <v>112.5</v>
      </c>
      <c r="BJ9" s="10">
        <f t="shared" si="0"/>
        <v>4624390</v>
      </c>
    </row>
    <row r="10" ht="14.25" customHeight="1">
      <c r="C10" s="31">
        <f>G38</f>
        <v>0.0615942445276089</v>
      </c>
      <c r="D10" s="32"/>
      <c r="E10" s="32"/>
      <c r="F10" s="33"/>
      <c r="G10" s="31">
        <f>I38</f>
        <v>0.109009847953962</v>
      </c>
      <c r="H10" s="33"/>
      <c r="I10" s="34">
        <f>L38</f>
        <v>0.711838686150498</v>
      </c>
      <c r="J10" s="35"/>
      <c r="K10" s="31">
        <f>AA38</f>
        <v>0.0603968938740293</v>
      </c>
      <c r="L10" s="33"/>
      <c r="M10" s="31">
        <f>_xlfn.IFERROR(M9/(V38/Y38)-1,"")</f>
        <v>0.037351737596854</v>
      </c>
      <c r="N10" s="33"/>
      <c r="O10" s="36">
        <f>Q38-P38</f>
        <v>974</v>
      </c>
      <c r="P10" s="37"/>
      <c r="Q10" s="38"/>
      <c r="R10" s="39"/>
      <c r="AD10" s="10" t="s">
        <v>39</v>
      </c>
      <c r="AE10" s="10">
        <v>3845817</v>
      </c>
      <c r="AF10" s="10">
        <v>0</v>
      </c>
      <c r="AG10" s="10">
        <v>0</v>
      </c>
      <c r="AH10" s="10">
        <v>778573</v>
      </c>
      <c r="AK10" s="10" t="s">
        <v>40</v>
      </c>
      <c r="AL10" s="10">
        <v>0.198</v>
      </c>
      <c r="AM10" s="10">
        <v>0.2039</v>
      </c>
      <c r="AN10" s="10">
        <v>0.2114</v>
      </c>
      <c r="BJ10" s="10">
        <f t="shared" si="0"/>
        <v>3845817</v>
      </c>
    </row>
    <row r="11" ht="14.25" customHeight="1">
      <c r="AD11" s="10" t="s">
        <v>41</v>
      </c>
      <c r="AE11" s="10">
        <v>0</v>
      </c>
      <c r="AF11" s="10">
        <v>3845817</v>
      </c>
      <c r="AG11" s="10">
        <v>0</v>
      </c>
      <c r="AH11" s="10">
        <v>0</v>
      </c>
      <c r="AK11" s="10" t="s">
        <v>42</v>
      </c>
      <c r="AL11" s="10">
        <v>0.063</v>
      </c>
      <c r="AM11" s="10">
        <v>0.0532</v>
      </c>
      <c r="AN11" s="10">
        <v>0.0419</v>
      </c>
      <c r="BJ11" s="10">
        <f t="shared" si="0"/>
        <v>0</v>
      </c>
    </row>
    <row r="12" ht="14.25" customHeight="1">
      <c r="C12" s="40" t="s">
        <v>43</v>
      </c>
      <c r="D12" s="41"/>
      <c r="E12" s="41"/>
      <c r="F12" s="42"/>
      <c r="G12" s="43"/>
      <c r="H12" s="43"/>
      <c r="I12" s="43"/>
      <c r="J12" s="43"/>
      <c r="K12" s="40" t="s">
        <v>44</v>
      </c>
      <c r="L12" s="43"/>
      <c r="M12" s="43"/>
      <c r="N12" s="43"/>
      <c r="O12" s="43"/>
      <c r="P12" s="43"/>
      <c r="Q12" s="43"/>
      <c r="R12" s="43"/>
    </row>
    <row r="13" ht="14.25" customHeight="1">
      <c r="C13" s="44"/>
    </row>
    <row r="14" ht="14.25" customHeight="1">
      <c r="C14" s="44"/>
    </row>
    <row r="15" ht="14.25" customHeight="1">
      <c r="C15" s="44"/>
    </row>
    <row r="16" ht="14.25" customHeight="1">
      <c r="C16" s="44"/>
    </row>
    <row r="17" ht="14.25" customHeight="1">
      <c r="C17" s="44"/>
    </row>
    <row r="18" ht="14.25" customHeight="1">
      <c r="C18" s="44"/>
    </row>
    <row r="19" ht="14.25" customHeight="1">
      <c r="C19" s="44"/>
    </row>
    <row r="20" ht="14.25" customHeight="1">
      <c r="C20" s="44"/>
    </row>
    <row r="21" ht="14.25" customHeight="1">
      <c r="C21" s="44"/>
    </row>
    <row r="22" ht="14.25" customHeight="1">
      <c r="C22" s="44"/>
    </row>
    <row r="23" ht="14.25" customHeight="1">
      <c r="C23" s="44"/>
    </row>
    <row r="24" ht="14.25" customHeight="1">
      <c r="C24" s="44"/>
    </row>
    <row r="25" ht="14.25" customHeight="1">
      <c r="C25" s="44"/>
    </row>
    <row r="26" ht="14.25" customHeight="1">
      <c r="C26" s="44"/>
    </row>
    <row r="27" ht="14.25" customHeight="1">
      <c r="C27" s="44"/>
    </row>
    <row r="28" ht="14.25" customHeight="1">
      <c r="C28" s="44"/>
    </row>
    <row r="29" ht="14.25" customHeight="1">
      <c r="C29" s="44"/>
    </row>
    <row r="30" ht="14.25" customHeight="1">
      <c r="C30" s="44"/>
    </row>
    <row r="31" ht="14.25" customHeight="1">
      <c r="C31" s="44"/>
    </row>
    <row r="32" ht="14.25" customHeight="1"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6" ht="14.25" customHeight="1">
      <c r="B36" s="47"/>
      <c r="R36" s="47"/>
    </row>
    <row r="37" ht="11.25" customHeight="1">
      <c r="B37" s="48"/>
      <c r="C37" s="49"/>
      <c r="D37" s="49"/>
      <c r="E37" s="49"/>
      <c r="F37" s="50" t="s">
        <v>45</v>
      </c>
      <c r="G37" s="50" t="s">
        <v>46</v>
      </c>
      <c r="H37" s="50" t="s">
        <v>47</v>
      </c>
      <c r="I37" s="50" t="s">
        <v>48</v>
      </c>
      <c r="J37" s="50" t="s">
        <v>49</v>
      </c>
      <c r="K37" s="50" t="s">
        <v>50</v>
      </c>
      <c r="L37" s="50" t="s">
        <v>51</v>
      </c>
      <c r="M37" s="50" t="s">
        <v>52</v>
      </c>
      <c r="N37" s="50" t="s">
        <v>53</v>
      </c>
      <c r="O37" s="50" t="s">
        <v>54</v>
      </c>
      <c r="P37" s="50" t="s">
        <v>55</v>
      </c>
      <c r="Q37" s="50" t="s">
        <v>56</v>
      </c>
      <c r="R37" s="50" t="s">
        <v>57</v>
      </c>
      <c r="S37" s="51" t="s">
        <v>58</v>
      </c>
      <c r="T37" s="51" t="s">
        <v>59</v>
      </c>
      <c r="U37" s="51" t="s">
        <v>60</v>
      </c>
      <c r="V37" s="51" t="s">
        <v>61</v>
      </c>
      <c r="W37" s="51" t="s">
        <v>62</v>
      </c>
      <c r="X37" s="51" t="s">
        <v>63</v>
      </c>
      <c r="Y37" s="51" t="s">
        <v>64</v>
      </c>
      <c r="Z37" s="51" t="s">
        <v>65</v>
      </c>
      <c r="AA37" s="51" t="s">
        <v>66</v>
      </c>
      <c r="AB37" s="51"/>
      <c r="AC37" s="47"/>
      <c r="AD37" s="47"/>
      <c r="AE37" s="47"/>
    </row>
    <row r="38" ht="11.25" customHeight="1">
      <c r="B38" s="52">
        <v>2</v>
      </c>
      <c r="C38" s="53" t="s">
        <v>10</v>
      </c>
      <c r="D38" s="54" t="s">
        <v>67</v>
      </c>
      <c r="E38" s="55" t="s">
        <v>68</v>
      </c>
      <c r="F38" s="56">
        <v>23098985</v>
      </c>
      <c r="G38" s="57">
        <f t="shared" si="2" ref="G38:G57">_xlfn.IFERROR((F38-T38)/T38,"")</f>
        <v>0.0615942445276089</v>
      </c>
      <c r="H38" s="56">
        <v>3845816.907756</v>
      </c>
      <c r="I38" s="57">
        <f t="shared" si="3" ref="I38:I57">_xlfn.IFERROR((H38-S38)/S38,"")</f>
        <v>0.109009847953962</v>
      </c>
      <c r="J38" s="58">
        <v>0.999984</v>
      </c>
      <c r="K38" s="58">
        <f t="shared" si="4" ref="K38:K57">_xlfn.IFERROR(H38/F38,"")</f>
        <v>0.166492896019284</v>
      </c>
      <c r="L38" s="59">
        <f t="shared" si="5" ref="L38:L57">_xlfn.IFERROR((K38-W38)*100,"")</f>
        <v>0.711838686150498</v>
      </c>
      <c r="M38" s="56">
        <v>1229</v>
      </c>
      <c r="N38" s="60">
        <f t="shared" si="6" ref="N38:N57">_xlfn.IFERROR(P38/Q38,"")</f>
        <v>0.76174168297456</v>
      </c>
      <c r="O38" s="60">
        <f t="shared" si="7" ref="O38:O57">_xlfn.IFERROR(R38/P38,"")</f>
        <v>0.863840719332049</v>
      </c>
      <c r="P38" s="56">
        <v>3114</v>
      </c>
      <c r="Q38" s="56">
        <v>4088</v>
      </c>
      <c r="R38" s="56">
        <v>2690</v>
      </c>
      <c r="S38" s="61">
        <v>3467793.288627</v>
      </c>
      <c r="T38" s="61">
        <v>21758770</v>
      </c>
      <c r="U38" s="61">
        <v>434174</v>
      </c>
      <c r="V38" s="61">
        <v>394702</v>
      </c>
      <c r="W38" s="62">
        <f t="shared" si="8" ref="W38:W57">_xlfn.IFERROR(S38/T38,"")</f>
        <v>0.159374509157779</v>
      </c>
      <c r="X38" s="61">
        <v>4088</v>
      </c>
      <c r="Y38" s="61">
        <v>1159</v>
      </c>
      <c r="Z38" s="61">
        <v>2933</v>
      </c>
      <c r="AA38" s="61">
        <f t="shared" si="9" ref="AA38:AA57">_xlfn.IFERROR((M38-Y38)/Y38,"")</f>
        <v>0.0603968938740293</v>
      </c>
      <c r="AB38" s="61">
        <f t="shared" si="10" ref="AB38:AB57">_xlfn.IFERROR((U38-T38)/T38,"")</f>
        <v>-0.980046022822062</v>
      </c>
      <c r="AC38" s="47"/>
      <c r="AD38" s="47"/>
      <c r="AE38" s="47"/>
    </row>
    <row r="39" ht="11.25" customHeight="1">
      <c r="B39" s="52">
        <v>3</v>
      </c>
      <c r="C39" s="53" t="s">
        <v>25</v>
      </c>
      <c r="D39" s="54" t="s">
        <v>67</v>
      </c>
      <c r="E39" s="55" t="s">
        <v>68</v>
      </c>
      <c r="F39" s="56">
        <v>2582800</v>
      </c>
      <c r="G39" s="57">
        <f t="shared" si="2"/>
        <v>0.0587979683278879</v>
      </c>
      <c r="H39" s="56">
        <v>365679.751826</v>
      </c>
      <c r="I39" s="57">
        <f t="shared" si="3"/>
        <v>0.154871551731531</v>
      </c>
      <c r="J39" s="58">
        <v>0.095085</v>
      </c>
      <c r="K39" s="58">
        <f t="shared" si="4"/>
        <v>0.14158268229286</v>
      </c>
      <c r="L39" s="59">
        <f t="shared" si="5"/>
        <v>1.177824115191</v>
      </c>
      <c r="M39" s="56">
        <v>130</v>
      </c>
      <c r="N39" s="58">
        <f t="shared" si="6"/>
        <v>0.657986111111111</v>
      </c>
      <c r="O39" s="58">
        <f t="shared" si="7"/>
        <v>1</v>
      </c>
      <c r="P39" s="56">
        <v>379</v>
      </c>
      <c r="Q39" s="56">
        <v>576</v>
      </c>
      <c r="R39" s="56">
        <v>379</v>
      </c>
      <c r="S39" s="47">
        <v>316641.059586</v>
      </c>
      <c r="T39" s="47">
        <v>2439370</v>
      </c>
      <c r="U39" s="47">
        <v>51871</v>
      </c>
      <c r="V39" s="47">
        <v>47155</v>
      </c>
      <c r="W39" s="47">
        <f t="shared" si="8"/>
        <v>0.12980444114095</v>
      </c>
      <c r="X39" s="47">
        <v>576</v>
      </c>
      <c r="Y39" s="47">
        <v>123</v>
      </c>
      <c r="Z39" s="47">
        <v>358</v>
      </c>
      <c r="AA39" s="47">
        <f t="shared" si="9"/>
        <v>0.0569105691056911</v>
      </c>
      <c r="AB39" s="47">
        <f t="shared" si="10"/>
        <v>-0.978735903122528</v>
      </c>
      <c r="AC39" s="47"/>
      <c r="AD39" s="47"/>
      <c r="AE39" s="47"/>
    </row>
    <row r="40" ht="11.25" customHeight="1">
      <c r="B40" s="52">
        <v>4</v>
      </c>
      <c r="C40" s="53" t="s">
        <v>69</v>
      </c>
      <c r="D40" s="54" t="s">
        <v>67</v>
      </c>
      <c r="E40" s="55" t="s">
        <v>68</v>
      </c>
      <c r="F40" s="56">
        <v>781650</v>
      </c>
      <c r="G40" s="57">
        <f t="shared" si="2"/>
        <v>0.0540474938306566</v>
      </c>
      <c r="H40" s="56">
        <v>107890.617776</v>
      </c>
      <c r="I40" s="57">
        <f t="shared" si="3"/>
        <v>0.152307524620808</v>
      </c>
      <c r="J40" s="58">
        <v>0.028054</v>
      </c>
      <c r="K40" s="58">
        <f t="shared" si="4"/>
        <v>0.138029319741572</v>
      </c>
      <c r="L40" s="59">
        <f t="shared" si="5"/>
        <v>1.1770091679487</v>
      </c>
      <c r="M40" s="56">
        <v>40</v>
      </c>
      <c r="N40" s="58">
        <f t="shared" si="6"/>
        <v>0.609375</v>
      </c>
      <c r="O40" s="58">
        <f t="shared" si="7"/>
        <v>1</v>
      </c>
      <c r="P40" s="56">
        <v>117</v>
      </c>
      <c r="Q40" s="56">
        <v>192</v>
      </c>
      <c r="R40" s="56">
        <v>117</v>
      </c>
      <c r="S40" s="47">
        <v>93630.055754</v>
      </c>
      <c r="T40" s="47">
        <v>741570</v>
      </c>
      <c r="U40" s="47">
        <v>15178</v>
      </c>
      <c r="V40" s="47">
        <v>13798</v>
      </c>
      <c r="W40" s="47">
        <f t="shared" si="8"/>
        <v>0.126259228062085</v>
      </c>
      <c r="X40" s="47">
        <v>192</v>
      </c>
      <c r="Y40" s="47">
        <v>38</v>
      </c>
      <c r="Z40" s="47">
        <v>111</v>
      </c>
      <c r="AA40" s="47">
        <f t="shared" si="9"/>
        <v>0.0526315789473684</v>
      </c>
      <c r="AB40" s="47">
        <f t="shared" si="10"/>
        <v>-0.979532613239478</v>
      </c>
      <c r="AC40" s="47"/>
      <c r="AD40" s="47"/>
      <c r="AE40" s="47"/>
    </row>
    <row r="41" ht="11.25" customHeight="1">
      <c r="B41" s="52">
        <v>4</v>
      </c>
      <c r="C41" s="53" t="s">
        <v>70</v>
      </c>
      <c r="D41" s="54" t="s">
        <v>67</v>
      </c>
      <c r="E41" s="55" t="s">
        <v>68</v>
      </c>
      <c r="F41" s="56">
        <v>1019500</v>
      </c>
      <c r="G41" s="57">
        <f t="shared" si="2"/>
        <v>0.0661660897482823</v>
      </c>
      <c r="H41" s="56">
        <v>149898.516029</v>
      </c>
      <c r="I41" s="57">
        <f t="shared" si="3"/>
        <v>0.158582429212553</v>
      </c>
      <c r="J41" s="58">
        <v>0.038977</v>
      </c>
      <c r="K41" s="58">
        <f t="shared" si="4"/>
        <v>0.147031403657675</v>
      </c>
      <c r="L41" s="59">
        <f t="shared" si="5"/>
        <v>1.1728215247983</v>
      </c>
      <c r="M41" s="56">
        <v>50</v>
      </c>
      <c r="N41" s="58">
        <f t="shared" si="6"/>
        <v>0.755208333333333</v>
      </c>
      <c r="O41" s="58">
        <f t="shared" si="7"/>
        <v>1</v>
      </c>
      <c r="P41" s="56">
        <v>145</v>
      </c>
      <c r="Q41" s="56">
        <v>192</v>
      </c>
      <c r="R41" s="56">
        <v>145</v>
      </c>
      <c r="S41" s="47">
        <v>129380.967853</v>
      </c>
      <c r="T41" s="47">
        <v>956230</v>
      </c>
      <c r="U41" s="47">
        <v>21760</v>
      </c>
      <c r="V41" s="47">
        <v>19782</v>
      </c>
      <c r="W41" s="47">
        <f t="shared" si="8"/>
        <v>0.135303188409692</v>
      </c>
      <c r="X41" s="47">
        <v>192</v>
      </c>
      <c r="Y41" s="47">
        <v>47</v>
      </c>
      <c r="Z41" s="47">
        <v>136</v>
      </c>
      <c r="AA41" s="47">
        <f t="shared" si="9"/>
        <v>0.0638297872340425</v>
      </c>
      <c r="AB41" s="47">
        <f t="shared" si="10"/>
        <v>-0.977243968501302</v>
      </c>
      <c r="AC41" s="47"/>
      <c r="AD41" s="47"/>
      <c r="AE41" s="47"/>
    </row>
    <row r="42" ht="11.25" customHeight="1">
      <c r="B42" s="52">
        <v>4</v>
      </c>
      <c r="C42" s="53" t="s">
        <v>71</v>
      </c>
      <c r="D42" s="54" t="s">
        <v>67</v>
      </c>
      <c r="E42" s="55" t="s">
        <v>68</v>
      </c>
      <c r="F42" s="56">
        <v>781650</v>
      </c>
      <c r="G42" s="57">
        <f t="shared" si="2"/>
        <v>0.0540474938306566</v>
      </c>
      <c r="H42" s="56">
        <v>107890.618021</v>
      </c>
      <c r="I42" s="57">
        <f t="shared" si="3"/>
        <v>0.152307770608979</v>
      </c>
      <c r="J42" s="58">
        <v>0.028054</v>
      </c>
      <c r="K42" s="58">
        <f t="shared" si="4"/>
        <v>0.138029320055012</v>
      </c>
      <c r="L42" s="59">
        <f t="shared" si="5"/>
        <v>1.1770118659324</v>
      </c>
      <c r="M42" s="56">
        <v>40</v>
      </c>
      <c r="N42" s="58">
        <f t="shared" si="6"/>
        <v>0.609375</v>
      </c>
      <c r="O42" s="58">
        <f t="shared" si="7"/>
        <v>1</v>
      </c>
      <c r="P42" s="56">
        <v>117</v>
      </c>
      <c r="Q42" s="56">
        <v>192</v>
      </c>
      <c r="R42" s="56">
        <v>117</v>
      </c>
      <c r="S42" s="47">
        <v>93630.035979</v>
      </c>
      <c r="T42" s="47">
        <v>741570</v>
      </c>
      <c r="U42" s="47">
        <v>14933</v>
      </c>
      <c r="V42" s="47">
        <v>13575</v>
      </c>
      <c r="W42" s="47">
        <f t="shared" si="8"/>
        <v>0.126259201395688</v>
      </c>
      <c r="X42" s="47">
        <v>192</v>
      </c>
      <c r="Y42" s="47">
        <v>38</v>
      </c>
      <c r="Z42" s="47">
        <v>111</v>
      </c>
      <c r="AA42" s="47">
        <f t="shared" si="9"/>
        <v>0.0526315789473684</v>
      </c>
      <c r="AB42" s="47">
        <f t="shared" si="10"/>
        <v>-0.979862993378912</v>
      </c>
      <c r="AC42" s="47"/>
      <c r="AD42" s="47"/>
      <c r="AE42" s="47"/>
    </row>
    <row r="43" ht="11.25" customHeight="1">
      <c r="B43" s="52">
        <v>3</v>
      </c>
      <c r="C43" s="53" t="s">
        <v>34</v>
      </c>
      <c r="D43" s="54" t="s">
        <v>67</v>
      </c>
      <c r="E43" s="55" t="s">
        <v>68</v>
      </c>
      <c r="F43" s="56">
        <v>6292550</v>
      </c>
      <c r="G43" s="57">
        <f t="shared" si="2"/>
        <v>0.0638652194495165</v>
      </c>
      <c r="H43" s="56">
        <v>1080136.255572</v>
      </c>
      <c r="I43" s="57">
        <f t="shared" si="3"/>
        <v>0.111391991758978</v>
      </c>
      <c r="J43" s="58">
        <v>0.280855</v>
      </c>
      <c r="K43" s="58">
        <f t="shared" si="4"/>
        <v>0.171653186001224</v>
      </c>
      <c r="L43" s="59">
        <f t="shared" si="5"/>
        <v>0.734045408619702</v>
      </c>
      <c r="M43" s="56">
        <v>338</v>
      </c>
      <c r="N43" s="58">
        <f t="shared" si="6"/>
        <v>0.80019305019305</v>
      </c>
      <c r="O43" s="58">
        <f t="shared" si="7"/>
        <v>0.796139927623643</v>
      </c>
      <c r="P43" s="56">
        <v>829</v>
      </c>
      <c r="Q43" s="56">
        <v>1036</v>
      </c>
      <c r="R43" s="56">
        <v>660</v>
      </c>
      <c r="S43" s="47">
        <v>971876.946731</v>
      </c>
      <c r="T43" s="47">
        <v>5914800</v>
      </c>
      <c r="U43" s="47">
        <v>108103</v>
      </c>
      <c r="V43" s="47">
        <v>98275</v>
      </c>
      <c r="W43" s="47">
        <f t="shared" si="8"/>
        <v>0.164312731915027</v>
      </c>
      <c r="X43" s="47">
        <v>1036</v>
      </c>
      <c r="Y43" s="47">
        <v>318</v>
      </c>
      <c r="Z43" s="47">
        <v>779</v>
      </c>
      <c r="AA43" s="47">
        <f t="shared" si="9"/>
        <v>0.0628930817610063</v>
      </c>
      <c r="AB43" s="47">
        <f t="shared" si="10"/>
        <v>-0.981723304253736</v>
      </c>
      <c r="AC43" s="47"/>
      <c r="AD43" s="47"/>
      <c r="AE43" s="47"/>
    </row>
    <row r="44" ht="11.25" customHeight="1">
      <c r="B44" s="52">
        <v>4</v>
      </c>
      <c r="C44" s="53" t="s">
        <v>72</v>
      </c>
      <c r="D44" s="54" t="s">
        <v>67</v>
      </c>
      <c r="E44" s="55" t="s">
        <v>68</v>
      </c>
      <c r="F44" s="56">
        <v>1755850</v>
      </c>
      <c r="G44" s="57">
        <f t="shared" si="2"/>
        <v>0.0654429611650485</v>
      </c>
      <c r="H44" s="56">
        <v>289771.286902</v>
      </c>
      <c r="I44" s="57">
        <f t="shared" si="3"/>
        <v>0.115413052563397</v>
      </c>
      <c r="J44" s="58">
        <v>0.075345</v>
      </c>
      <c r="K44" s="58">
        <f t="shared" si="4"/>
        <v>0.165031914401572</v>
      </c>
      <c r="L44" s="59">
        <f t="shared" si="5"/>
        <v>0.7393368606669</v>
      </c>
      <c r="M44" s="56">
        <v>100</v>
      </c>
      <c r="N44" s="58">
        <f t="shared" si="6"/>
        <v>0.824324324324324</v>
      </c>
      <c r="O44" s="58">
        <f t="shared" si="7"/>
        <v>0.795081967213115</v>
      </c>
      <c r="P44" s="56">
        <v>244</v>
      </c>
      <c r="Q44" s="56">
        <v>296</v>
      </c>
      <c r="R44" s="56">
        <v>194</v>
      </c>
      <c r="S44" s="47">
        <v>259788.32347</v>
      </c>
      <c r="T44" s="47">
        <v>1648000</v>
      </c>
      <c r="U44" s="47">
        <v>25220</v>
      </c>
      <c r="V44" s="47">
        <v>22927</v>
      </c>
      <c r="W44" s="47">
        <f t="shared" si="8"/>
        <v>0.157638545794903</v>
      </c>
      <c r="X44" s="47">
        <v>296</v>
      </c>
      <c r="Y44" s="47">
        <v>94</v>
      </c>
      <c r="Z44" s="47">
        <v>229</v>
      </c>
      <c r="AA44" s="47">
        <f t="shared" si="9"/>
        <v>0.0638297872340425</v>
      </c>
      <c r="AB44" s="47">
        <f t="shared" si="10"/>
        <v>-0.984696601941748</v>
      </c>
      <c r="AC44" s="47"/>
      <c r="AD44" s="47"/>
      <c r="AE44" s="47"/>
    </row>
    <row r="45" ht="11.25" customHeight="1">
      <c r="B45" s="52">
        <v>4</v>
      </c>
      <c r="C45" s="53" t="s">
        <v>73</v>
      </c>
      <c r="D45" s="54" t="s">
        <v>67</v>
      </c>
      <c r="E45" s="55" t="s">
        <v>68</v>
      </c>
      <c r="F45" s="56">
        <v>2908720</v>
      </c>
      <c r="G45" s="57">
        <f t="shared" si="2"/>
        <v>0.0598437591091937</v>
      </c>
      <c r="H45" s="56">
        <v>526580.913096</v>
      </c>
      <c r="I45" s="57">
        <f t="shared" si="3"/>
        <v>0.104650086088985</v>
      </c>
      <c r="J45" s="58">
        <v>0.136922</v>
      </c>
      <c r="K45" s="58">
        <f t="shared" si="4"/>
        <v>0.181035270873786</v>
      </c>
      <c r="L45" s="59">
        <f t="shared" si="5"/>
        <v>0.734307238445497</v>
      </c>
      <c r="M45" s="56">
        <v>144</v>
      </c>
      <c r="N45" s="58">
        <f t="shared" si="6"/>
        <v>0.797297297297297</v>
      </c>
      <c r="O45" s="58">
        <f t="shared" si="7"/>
        <v>0.796610169491525</v>
      </c>
      <c r="P45" s="56">
        <v>354</v>
      </c>
      <c r="Q45" s="56">
        <v>444</v>
      </c>
      <c r="R45" s="56">
        <v>282</v>
      </c>
      <c r="S45" s="47">
        <v>476694.76491</v>
      </c>
      <c r="T45" s="47">
        <v>2744480</v>
      </c>
      <c r="U45" s="47">
        <v>60800</v>
      </c>
      <c r="V45" s="47">
        <v>55272</v>
      </c>
      <c r="W45" s="47">
        <f t="shared" si="8"/>
        <v>0.173692198489331</v>
      </c>
      <c r="X45" s="47">
        <v>444</v>
      </c>
      <c r="Y45" s="47">
        <v>136</v>
      </c>
      <c r="Z45" s="47">
        <v>334</v>
      </c>
      <c r="AA45" s="47">
        <f t="shared" si="9"/>
        <v>0.0588235294117647</v>
      </c>
      <c r="AB45" s="47">
        <f t="shared" si="10"/>
        <v>-0.977846440855827</v>
      </c>
      <c r="AC45" s="47"/>
      <c r="AD45" s="47"/>
      <c r="AE45" s="47"/>
    </row>
    <row r="46" ht="11.25" customHeight="1">
      <c r="B46" s="52">
        <v>4</v>
      </c>
      <c r="C46" s="53" t="s">
        <v>74</v>
      </c>
      <c r="D46" s="54" t="s">
        <v>67</v>
      </c>
      <c r="E46" s="55" t="s">
        <v>68</v>
      </c>
      <c r="F46" s="56">
        <v>1627980</v>
      </c>
      <c r="G46" s="57">
        <f t="shared" si="2"/>
        <v>0.0694072205580955</v>
      </c>
      <c r="H46" s="56">
        <v>263784.055574</v>
      </c>
      <c r="I46" s="57">
        <f t="shared" si="3"/>
        <v>0.120607213042351</v>
      </c>
      <c r="J46" s="58">
        <v>0.068588</v>
      </c>
      <c r="K46" s="58">
        <f t="shared" si="4"/>
        <v>0.162031508724923</v>
      </c>
      <c r="L46" s="59">
        <f t="shared" si="5"/>
        <v>0.740313995160299</v>
      </c>
      <c r="M46" s="56">
        <v>94</v>
      </c>
      <c r="N46" s="58">
        <f t="shared" si="6"/>
        <v>0.780405405405405</v>
      </c>
      <c r="O46" s="58">
        <f t="shared" si="7"/>
        <v>0.796536796536797</v>
      </c>
      <c r="P46" s="56">
        <v>231</v>
      </c>
      <c r="Q46" s="56">
        <v>296</v>
      </c>
      <c r="R46" s="56">
        <v>184</v>
      </c>
      <c r="S46" s="47">
        <v>235393.858351</v>
      </c>
      <c r="T46" s="47">
        <v>1522320</v>
      </c>
      <c r="U46" s="47">
        <v>22083</v>
      </c>
      <c r="V46" s="47">
        <v>20076</v>
      </c>
      <c r="W46" s="47">
        <f t="shared" si="8"/>
        <v>0.15462836877332</v>
      </c>
      <c r="X46" s="47">
        <v>296</v>
      </c>
      <c r="Y46" s="47">
        <v>88</v>
      </c>
      <c r="Z46" s="47">
        <v>216</v>
      </c>
      <c r="AA46" s="47">
        <f t="shared" si="9"/>
        <v>0.0681818181818182</v>
      </c>
      <c r="AB46" s="47">
        <f t="shared" si="10"/>
        <v>-0.985493851489831</v>
      </c>
      <c r="AC46" s="47"/>
      <c r="AD46" s="47"/>
      <c r="AE46" s="47"/>
    </row>
    <row r="47" ht="11.25" customHeight="1">
      <c r="B47" s="52">
        <v>3</v>
      </c>
      <c r="C47" s="53" t="s">
        <v>37</v>
      </c>
      <c r="D47" s="54" t="s">
        <v>67</v>
      </c>
      <c r="E47" s="55" t="s">
        <v>68</v>
      </c>
      <c r="F47" s="56">
        <v>9567455</v>
      </c>
      <c r="G47" s="57">
        <f t="shared" si="2"/>
        <v>0.05923730127098</v>
      </c>
      <c r="H47" s="56">
        <v>1746010.127975</v>
      </c>
      <c r="I47" s="57">
        <f t="shared" si="3"/>
        <v>0.116130467067482</v>
      </c>
      <c r="J47" s="58">
        <v>0.453995</v>
      </c>
      <c r="K47" s="58">
        <f t="shared" si="4"/>
        <v>0.182494731145848</v>
      </c>
      <c r="L47" s="59">
        <f t="shared" si="5"/>
        <v>0.930240980102298</v>
      </c>
      <c r="M47" s="56">
        <v>510</v>
      </c>
      <c r="N47" s="58">
        <f t="shared" si="6"/>
        <v>0.850817438692098</v>
      </c>
      <c r="O47" s="58">
        <f t="shared" si="7"/>
        <v>0.795836669335468</v>
      </c>
      <c r="P47" s="56">
        <v>1249</v>
      </c>
      <c r="Q47" s="56">
        <v>1468</v>
      </c>
      <c r="R47" s="56">
        <v>994</v>
      </c>
      <c r="S47" s="47">
        <v>1564342.323315</v>
      </c>
      <c r="T47" s="47">
        <v>9032400</v>
      </c>
      <c r="U47" s="47">
        <v>166530</v>
      </c>
      <c r="V47" s="47">
        <v>151390</v>
      </c>
      <c r="W47" s="47">
        <f t="shared" si="8"/>
        <v>0.173192321344825</v>
      </c>
      <c r="X47" s="47">
        <v>1468</v>
      </c>
      <c r="Y47" s="47">
        <v>482</v>
      </c>
      <c r="Z47" s="47">
        <v>1179</v>
      </c>
      <c r="AA47" s="47">
        <f t="shared" si="9"/>
        <v>0.0580912863070539</v>
      </c>
      <c r="AB47" s="47">
        <f t="shared" si="10"/>
        <v>-0.981563039723661</v>
      </c>
      <c r="AC47" s="47"/>
      <c r="AD47" s="47"/>
      <c r="AE47" s="47"/>
    </row>
    <row r="48" ht="11.25" customHeight="1">
      <c r="B48" s="52">
        <v>4</v>
      </c>
      <c r="C48" s="53" t="s">
        <v>75</v>
      </c>
      <c r="D48" s="54" t="s">
        <v>67</v>
      </c>
      <c r="E48" s="55" t="s">
        <v>68</v>
      </c>
      <c r="F48" s="56">
        <v>1773610</v>
      </c>
      <c r="G48" s="57">
        <f t="shared" si="2"/>
        <v>0.0640457628288003</v>
      </c>
      <c r="H48" s="56">
        <v>305136.216562</v>
      </c>
      <c r="I48" s="57">
        <f t="shared" si="3"/>
        <v>0.125178037002669</v>
      </c>
      <c r="J48" s="58">
        <v>0.07934</v>
      </c>
      <c r="K48" s="58">
        <f t="shared" si="4"/>
        <v>0.172042453843855</v>
      </c>
      <c r="L48" s="59">
        <f t="shared" si="5"/>
        <v>0.934727315327299</v>
      </c>
      <c r="M48" s="56">
        <v>102</v>
      </c>
      <c r="N48" s="58">
        <f t="shared" si="6"/>
        <v>0.841216216216216</v>
      </c>
      <c r="O48" s="58">
        <f t="shared" si="7"/>
        <v>0.795180722891566</v>
      </c>
      <c r="P48" s="56">
        <v>249</v>
      </c>
      <c r="Q48" s="56">
        <v>296</v>
      </c>
      <c r="R48" s="56">
        <v>198</v>
      </c>
      <c r="S48" s="47">
        <v>271189.27541</v>
      </c>
      <c r="T48" s="47">
        <v>1666855</v>
      </c>
      <c r="U48" s="47">
        <v>24923</v>
      </c>
      <c r="V48" s="47">
        <v>22657</v>
      </c>
      <c r="W48" s="47">
        <f t="shared" si="8"/>
        <v>0.162695180690582</v>
      </c>
      <c r="X48" s="47">
        <v>296</v>
      </c>
      <c r="Y48" s="47">
        <v>96</v>
      </c>
      <c r="Z48" s="47">
        <v>234</v>
      </c>
      <c r="AA48" s="47">
        <f t="shared" si="9"/>
        <v>0.0625</v>
      </c>
      <c r="AB48" s="47">
        <f t="shared" si="10"/>
        <v>-0.985047889588477</v>
      </c>
      <c r="AC48" s="47"/>
      <c r="AD48" s="47"/>
      <c r="AE48" s="47"/>
    </row>
    <row r="49" ht="11.25" customHeight="1">
      <c r="B49" s="52">
        <v>4</v>
      </c>
      <c r="C49" s="53" t="s">
        <v>76</v>
      </c>
      <c r="D49" s="54" t="s">
        <v>67</v>
      </c>
      <c r="E49" s="55" t="s">
        <v>68</v>
      </c>
      <c r="F49" s="56">
        <v>2496705</v>
      </c>
      <c r="G49" s="57">
        <f t="shared" si="2"/>
        <v>0.0657450745618809</v>
      </c>
      <c r="H49" s="56">
        <v>456976.670653</v>
      </c>
      <c r="I49" s="57">
        <f t="shared" si="3"/>
        <v>0.1228869636144</v>
      </c>
      <c r="J49" s="58">
        <v>0.118823</v>
      </c>
      <c r="K49" s="58">
        <f t="shared" si="4"/>
        <v>0.183031904311082</v>
      </c>
      <c r="L49" s="59">
        <f t="shared" si="5"/>
        <v>0.931419555851798</v>
      </c>
      <c r="M49" s="56">
        <v>132</v>
      </c>
      <c r="N49" s="58">
        <f t="shared" si="6"/>
        <v>0.852631578947368</v>
      </c>
      <c r="O49" s="58">
        <f t="shared" si="7"/>
        <v>0.796296296296296</v>
      </c>
      <c r="P49" s="56">
        <v>324</v>
      </c>
      <c r="Q49" s="56">
        <v>380</v>
      </c>
      <c r="R49" s="56">
        <v>258</v>
      </c>
      <c r="S49" s="47">
        <v>406965.870529</v>
      </c>
      <c r="T49" s="47">
        <v>2342685</v>
      </c>
      <c r="U49" s="47">
        <v>41783</v>
      </c>
      <c r="V49" s="47">
        <v>37985</v>
      </c>
      <c r="W49" s="47">
        <f t="shared" si="8"/>
        <v>0.173717708752564</v>
      </c>
      <c r="X49" s="47">
        <v>380</v>
      </c>
      <c r="Y49" s="47">
        <v>124</v>
      </c>
      <c r="Z49" s="47">
        <v>304</v>
      </c>
      <c r="AA49" s="47">
        <f t="shared" si="9"/>
        <v>0.0645161290322581</v>
      </c>
      <c r="AB49" s="47">
        <f t="shared" si="10"/>
        <v>-0.982164482207382</v>
      </c>
      <c r="AC49" s="47"/>
      <c r="AD49" s="47"/>
      <c r="AE49" s="47"/>
    </row>
    <row r="50" ht="11.25" customHeight="1">
      <c r="B50" s="52">
        <v>4</v>
      </c>
      <c r="C50" s="53" t="s">
        <v>77</v>
      </c>
      <c r="D50" s="54" t="s">
        <v>67</v>
      </c>
      <c r="E50" s="55" t="s">
        <v>68</v>
      </c>
      <c r="F50" s="56">
        <v>2158300</v>
      </c>
      <c r="G50" s="57">
        <f t="shared" si="2"/>
        <v>0.0537236483649537</v>
      </c>
      <c r="H50" s="56">
        <v>384274.75401</v>
      </c>
      <c r="I50" s="57">
        <f t="shared" si="3"/>
        <v>0.111984455939207</v>
      </c>
      <c r="J50" s="58">
        <v>0.099918</v>
      </c>
      <c r="K50" s="58">
        <f t="shared" si="4"/>
        <v>0.178045106801649</v>
      </c>
      <c r="L50" s="59">
        <f t="shared" si="5"/>
        <v>0.932841430606701</v>
      </c>
      <c r="M50" s="56">
        <v>120</v>
      </c>
      <c r="N50" s="58">
        <f t="shared" si="6"/>
        <v>0.844827586206897</v>
      </c>
      <c r="O50" s="58">
        <f t="shared" si="7"/>
        <v>0.795918367346939</v>
      </c>
      <c r="P50" s="56">
        <v>294</v>
      </c>
      <c r="Q50" s="56">
        <v>348</v>
      </c>
      <c r="R50" s="56">
        <v>234</v>
      </c>
      <c r="S50" s="47">
        <v>345575.652571</v>
      </c>
      <c r="T50" s="47">
        <v>2048260</v>
      </c>
      <c r="U50" s="47">
        <v>31533</v>
      </c>
      <c r="V50" s="47">
        <v>28666</v>
      </c>
      <c r="W50" s="47">
        <f t="shared" si="8"/>
        <v>0.168716692495582</v>
      </c>
      <c r="X50" s="47">
        <v>348</v>
      </c>
      <c r="Y50" s="47">
        <v>114</v>
      </c>
      <c r="Z50" s="47">
        <v>279</v>
      </c>
      <c r="AA50" s="47">
        <f t="shared" si="9"/>
        <v>0.0526315789473684</v>
      </c>
      <c r="AB50" s="47">
        <f t="shared" si="10"/>
        <v>-0.984604981789421</v>
      </c>
      <c r="AC50" s="47"/>
      <c r="AD50" s="47"/>
      <c r="AE50" s="47"/>
    </row>
    <row r="51" ht="11.25" customHeight="1">
      <c r="B51" s="52">
        <v>4</v>
      </c>
      <c r="C51" s="53" t="s">
        <v>78</v>
      </c>
      <c r="D51" s="54" t="s">
        <v>67</v>
      </c>
      <c r="E51" s="55" t="s">
        <v>68</v>
      </c>
      <c r="F51" s="56">
        <v>3138840</v>
      </c>
      <c r="G51" s="57">
        <f t="shared" si="2"/>
        <v>0.0552141464398575</v>
      </c>
      <c r="H51" s="56">
        <v>599622.48675</v>
      </c>
      <c r="I51" s="57">
        <f t="shared" si="3"/>
        <v>0.109155945142467</v>
      </c>
      <c r="J51" s="58">
        <v>0.155914</v>
      </c>
      <c r="K51" s="58">
        <f t="shared" si="4"/>
        <v>0.191033148153458</v>
      </c>
      <c r="L51" s="59">
        <f t="shared" si="5"/>
        <v>0.9290552575901</v>
      </c>
      <c r="M51" s="56">
        <v>156</v>
      </c>
      <c r="N51" s="58">
        <f t="shared" si="6"/>
        <v>0.86036036036036</v>
      </c>
      <c r="O51" s="58">
        <f t="shared" si="7"/>
        <v>0.795811518324607</v>
      </c>
      <c r="P51" s="56">
        <v>382</v>
      </c>
      <c r="Q51" s="56">
        <v>444</v>
      </c>
      <c r="R51" s="56">
        <v>304</v>
      </c>
      <c r="S51" s="47">
        <v>540611.524805</v>
      </c>
      <c r="T51" s="47">
        <v>2974600</v>
      </c>
      <c r="U51" s="47">
        <v>68291</v>
      </c>
      <c r="V51" s="47">
        <v>62082</v>
      </c>
      <c r="W51" s="47">
        <f t="shared" si="8"/>
        <v>0.181742595577557</v>
      </c>
      <c r="X51" s="47">
        <v>444</v>
      </c>
      <c r="Y51" s="47">
        <v>148</v>
      </c>
      <c r="Z51" s="47">
        <v>362</v>
      </c>
      <c r="AA51" s="47">
        <f t="shared" si="9"/>
        <v>0.0540540540540541</v>
      </c>
      <c r="AB51" s="47">
        <f t="shared" si="10"/>
        <v>-0.97704195522087</v>
      </c>
      <c r="AC51" s="47"/>
      <c r="AD51" s="47"/>
      <c r="AE51" s="47"/>
    </row>
    <row r="52" ht="11.25" customHeight="1">
      <c r="B52" s="52">
        <v>3</v>
      </c>
      <c r="C52" s="53" t="s">
        <v>40</v>
      </c>
      <c r="D52" s="54" t="s">
        <v>67</v>
      </c>
      <c r="E52" s="55" t="s">
        <v>68</v>
      </c>
      <c r="F52" s="56">
        <v>2706480</v>
      </c>
      <c r="G52" s="57">
        <f t="shared" si="2"/>
        <v>0.0665468689042051</v>
      </c>
      <c r="H52" s="56">
        <v>572262.783809</v>
      </c>
      <c r="I52" s="57">
        <f t="shared" si="3"/>
        <v>0.106034866607223</v>
      </c>
      <c r="J52" s="58">
        <v>0.148799</v>
      </c>
      <c r="K52" s="58">
        <f t="shared" si="4"/>
        <v>0.211441719062768</v>
      </c>
      <c r="L52" s="59">
        <f t="shared" si="5"/>
        <v>0.754895742327302</v>
      </c>
      <c r="M52" s="56">
        <v>164</v>
      </c>
      <c r="N52" s="58">
        <f t="shared" si="6"/>
        <v>0.644230769230769</v>
      </c>
      <c r="O52" s="58">
        <f t="shared" si="7"/>
        <v>1</v>
      </c>
      <c r="P52" s="56">
        <v>402</v>
      </c>
      <c r="Q52" s="56">
        <v>624</v>
      </c>
      <c r="R52" s="56">
        <v>402</v>
      </c>
      <c r="S52" s="47">
        <v>517400.310864</v>
      </c>
      <c r="T52" s="47">
        <v>2537610</v>
      </c>
      <c r="U52" s="47">
        <v>58580</v>
      </c>
      <c r="V52" s="47">
        <v>53255</v>
      </c>
      <c r="W52" s="47">
        <f t="shared" si="8"/>
        <v>0.203892761639495</v>
      </c>
      <c r="X52" s="47">
        <v>624</v>
      </c>
      <c r="Y52" s="47">
        <v>154</v>
      </c>
      <c r="Z52" s="47">
        <v>377</v>
      </c>
      <c r="AA52" s="47">
        <f t="shared" si="9"/>
        <v>0.0649350649350649</v>
      </c>
      <c r="AB52" s="47">
        <f t="shared" si="10"/>
        <v>-0.976915286430933</v>
      </c>
      <c r="AC52" s="47"/>
      <c r="AD52" s="47"/>
      <c r="AE52" s="47"/>
    </row>
    <row r="53" ht="11.25" customHeight="1">
      <c r="B53" s="52">
        <v>4</v>
      </c>
      <c r="C53" s="53" t="s">
        <v>79</v>
      </c>
      <c r="D53" s="54" t="s">
        <v>67</v>
      </c>
      <c r="E53" s="55" t="s">
        <v>68</v>
      </c>
      <c r="F53" s="56">
        <v>1132650</v>
      </c>
      <c r="G53" s="57">
        <f t="shared" si="2"/>
        <v>0.06026566317504</v>
      </c>
      <c r="H53" s="56">
        <v>232243.363153</v>
      </c>
      <c r="I53" s="57">
        <f t="shared" si="3"/>
        <v>0.100829666732937</v>
      </c>
      <c r="J53" s="58">
        <v>0.060387</v>
      </c>
      <c r="K53" s="58">
        <f t="shared" si="4"/>
        <v>0.20504424416457</v>
      </c>
      <c r="L53" s="59">
        <f t="shared" si="5"/>
        <v>0.755558802707701</v>
      </c>
      <c r="M53" s="56">
        <v>72</v>
      </c>
      <c r="N53" s="58">
        <f t="shared" si="6"/>
        <v>0.564102564102564</v>
      </c>
      <c r="O53" s="58">
        <f t="shared" si="7"/>
        <v>1</v>
      </c>
      <c r="P53" s="56">
        <v>176</v>
      </c>
      <c r="Q53" s="56">
        <v>312</v>
      </c>
      <c r="R53" s="56">
        <v>176</v>
      </c>
      <c r="S53" s="47">
        <v>210971.206692</v>
      </c>
      <c r="T53" s="47">
        <v>1068270</v>
      </c>
      <c r="U53" s="47">
        <v>21968</v>
      </c>
      <c r="V53" s="47">
        <v>19971</v>
      </c>
      <c r="W53" s="47">
        <f t="shared" si="8"/>
        <v>0.197488656137493</v>
      </c>
      <c r="X53" s="47">
        <v>312</v>
      </c>
      <c r="Y53" s="47">
        <v>68</v>
      </c>
      <c r="Z53" s="47">
        <v>166</v>
      </c>
      <c r="AA53" s="47">
        <f t="shared" si="9"/>
        <v>0.0588235294117647</v>
      </c>
      <c r="AB53" s="47">
        <f t="shared" si="10"/>
        <v>-0.979435910397184</v>
      </c>
      <c r="AC53" s="47"/>
      <c r="AD53" s="47"/>
      <c r="AE53" s="47"/>
    </row>
    <row r="54" ht="11.25" customHeight="1">
      <c r="B54" s="52">
        <v>4</v>
      </c>
      <c r="C54" s="53" t="s">
        <v>80</v>
      </c>
      <c r="D54" s="54" t="s">
        <v>67</v>
      </c>
      <c r="E54" s="55" t="s">
        <v>68</v>
      </c>
      <c r="F54" s="56">
        <v>1573830</v>
      </c>
      <c r="G54" s="57">
        <f t="shared" si="2"/>
        <v>0.0711135611907387</v>
      </c>
      <c r="H54" s="56">
        <v>340019.420656</v>
      </c>
      <c r="I54" s="57">
        <f t="shared" si="3"/>
        <v>0.109618557854562</v>
      </c>
      <c r="J54" s="58">
        <v>0.088412</v>
      </c>
      <c r="K54" s="58">
        <f t="shared" si="4"/>
        <v>0.216045837641931</v>
      </c>
      <c r="L54" s="59">
        <f t="shared" si="5"/>
        <v>0.749703057753501</v>
      </c>
      <c r="M54" s="56">
        <v>92</v>
      </c>
      <c r="N54" s="58">
        <f t="shared" si="6"/>
        <v>0.724358974358974</v>
      </c>
      <c r="O54" s="58">
        <f t="shared" si="7"/>
        <v>1</v>
      </c>
      <c r="P54" s="56">
        <v>226</v>
      </c>
      <c r="Q54" s="56">
        <v>312</v>
      </c>
      <c r="R54" s="56">
        <v>226</v>
      </c>
      <c r="S54" s="47">
        <v>306429.104172</v>
      </c>
      <c r="T54" s="47">
        <v>1469340</v>
      </c>
      <c r="U54" s="47">
        <v>36612</v>
      </c>
      <c r="V54" s="47">
        <v>33284</v>
      </c>
      <c r="W54" s="47">
        <f t="shared" si="8"/>
        <v>0.208548807064396</v>
      </c>
      <c r="X54" s="47">
        <v>312</v>
      </c>
      <c r="Y54" s="47">
        <v>86</v>
      </c>
      <c r="Z54" s="47">
        <v>211</v>
      </c>
      <c r="AA54" s="47">
        <f t="shared" si="9"/>
        <v>0.0697674418604651</v>
      </c>
      <c r="AB54" s="47">
        <f t="shared" si="10"/>
        <v>-0.975082690187431</v>
      </c>
      <c r="AC54" s="47"/>
      <c r="AD54" s="47"/>
      <c r="AE54" s="47"/>
    </row>
    <row r="55" ht="11.25" customHeight="1">
      <c r="B55" s="52">
        <v>3</v>
      </c>
      <c r="C55" s="53" t="s">
        <v>42</v>
      </c>
      <c r="D55" s="54" t="s">
        <v>67</v>
      </c>
      <c r="E55" s="55" t="s">
        <v>68</v>
      </c>
      <c r="F55" s="56">
        <v>1949700</v>
      </c>
      <c r="G55" s="57">
        <f t="shared" si="2"/>
        <v>0.0627442643860481</v>
      </c>
      <c r="H55" s="56">
        <v>81727.988574</v>
      </c>
      <c r="I55" s="57">
        <f t="shared" si="3"/>
        <v>-0.162044811248969</v>
      </c>
      <c r="J55" s="58">
        <v>0.02125</v>
      </c>
      <c r="K55" s="58">
        <f t="shared" si="4"/>
        <v>0.0419182379719957</v>
      </c>
      <c r="L55" s="59">
        <f t="shared" si="5"/>
        <v>-1.1244947334258</v>
      </c>
      <c r="M55" s="56">
        <v>87</v>
      </c>
      <c r="N55" s="58">
        <f t="shared" si="6"/>
        <v>0.6640625</v>
      </c>
      <c r="O55" s="58">
        <f t="shared" si="7"/>
        <v>1</v>
      </c>
      <c r="P55" s="56">
        <v>255</v>
      </c>
      <c r="Q55" s="56">
        <v>384</v>
      </c>
      <c r="R55" s="56">
        <v>255</v>
      </c>
      <c r="S55" s="47">
        <v>97532.648131</v>
      </c>
      <c r="T55" s="47">
        <v>1834590</v>
      </c>
      <c r="U55" s="47">
        <v>49090</v>
      </c>
      <c r="V55" s="47">
        <v>44627</v>
      </c>
      <c r="W55" s="47">
        <f t="shared" si="8"/>
        <v>0.0531631853062537</v>
      </c>
      <c r="X55" s="47">
        <v>384</v>
      </c>
      <c r="Y55" s="47">
        <v>82</v>
      </c>
      <c r="Z55" s="47">
        <v>240</v>
      </c>
      <c r="AA55" s="47">
        <f t="shared" si="9"/>
        <v>0.0609756097560976</v>
      </c>
      <c r="AB55" s="47">
        <f t="shared" si="10"/>
        <v>-0.9732419777716</v>
      </c>
      <c r="AC55" s="47"/>
      <c r="AD55" s="47"/>
      <c r="AE55" s="47"/>
    </row>
    <row r="56" ht="11.25" customHeight="1">
      <c r="B56" s="52">
        <v>4</v>
      </c>
      <c r="C56" s="53" t="s">
        <v>81</v>
      </c>
      <c r="D56" s="54" t="s">
        <v>67</v>
      </c>
      <c r="E56" s="55" t="s">
        <v>68</v>
      </c>
      <c r="F56" s="56">
        <v>863550</v>
      </c>
      <c r="G56" s="57">
        <f t="shared" si="2"/>
        <v>0.0540481160057124</v>
      </c>
      <c r="H56" s="56">
        <v>32830.609502</v>
      </c>
      <c r="I56" s="57">
        <f t="shared" si="3"/>
        <v>-0.186795400535368</v>
      </c>
      <c r="J56" s="58">
        <v>0.008536</v>
      </c>
      <c r="K56" s="58">
        <f t="shared" si="4"/>
        <v>0.0380181917688611</v>
      </c>
      <c r="L56" s="59">
        <f t="shared" si="5"/>
        <v>-1.12596940599865</v>
      </c>
      <c r="M56" s="56">
        <v>40</v>
      </c>
      <c r="N56" s="58">
        <f t="shared" si="6"/>
        <v>0.609375</v>
      </c>
      <c r="O56" s="58">
        <f t="shared" si="7"/>
        <v>1</v>
      </c>
      <c r="P56" s="56">
        <v>117</v>
      </c>
      <c r="Q56" s="56">
        <v>192</v>
      </c>
      <c r="R56" s="56">
        <v>117</v>
      </c>
      <c r="S56" s="47">
        <v>40371.893523</v>
      </c>
      <c r="T56" s="47">
        <v>819270</v>
      </c>
      <c r="U56" s="47">
        <v>18850</v>
      </c>
      <c r="V56" s="47">
        <v>17136</v>
      </c>
      <c r="W56" s="47">
        <f t="shared" si="8"/>
        <v>0.0492778858288476</v>
      </c>
      <c r="X56" s="47">
        <v>192</v>
      </c>
      <c r="Y56" s="47">
        <v>38</v>
      </c>
      <c r="Z56" s="47">
        <v>111</v>
      </c>
      <c r="AA56" s="47">
        <f t="shared" si="9"/>
        <v>0.0526315789473684</v>
      </c>
      <c r="AB56" s="47">
        <f t="shared" si="10"/>
        <v>-0.976991712133973</v>
      </c>
      <c r="AC56" s="47"/>
      <c r="AD56" s="47"/>
      <c r="AE56" s="47"/>
    </row>
    <row r="57" ht="11.25" customHeight="1">
      <c r="B57" s="52">
        <v>4</v>
      </c>
      <c r="C57" s="53" t="s">
        <v>82</v>
      </c>
      <c r="D57" s="54" t="s">
        <v>67</v>
      </c>
      <c r="E57" s="55" t="s">
        <v>68</v>
      </c>
      <c r="F57" s="56">
        <v>1086150</v>
      </c>
      <c r="G57" s="57">
        <f t="shared" si="2"/>
        <v>0.0697612575345704</v>
      </c>
      <c r="H57" s="56">
        <v>48897.379072</v>
      </c>
      <c r="I57" s="57">
        <f t="shared" si="3"/>
        <v>-0.144563793684478</v>
      </c>
      <c r="J57" s="58">
        <v>0.012714</v>
      </c>
      <c r="K57" s="58">
        <f t="shared" si="4"/>
        <v>0.0450189928389265</v>
      </c>
      <c r="L57" s="59">
        <f t="shared" si="5"/>
        <v>-1.12792723464338</v>
      </c>
      <c r="M57" s="56">
        <v>47</v>
      </c>
      <c r="N57" s="58">
        <f t="shared" si="6"/>
        <v>0.71875</v>
      </c>
      <c r="O57" s="58">
        <f t="shared" si="7"/>
        <v>1</v>
      </c>
      <c r="P57" s="56">
        <v>138</v>
      </c>
      <c r="Q57" s="56">
        <v>192</v>
      </c>
      <c r="R57" s="56">
        <v>138</v>
      </c>
      <c r="S57" s="47">
        <v>57160.754608</v>
      </c>
      <c r="T57" s="47">
        <v>1015320</v>
      </c>
      <c r="U57" s="47">
        <v>30240</v>
      </c>
      <c r="V57" s="47">
        <v>27491</v>
      </c>
      <c r="W57" s="47">
        <f t="shared" si="8"/>
        <v>0.0562982651853603</v>
      </c>
      <c r="X57" s="47">
        <v>192</v>
      </c>
      <c r="Y57" s="47">
        <v>44</v>
      </c>
      <c r="Z57" s="47">
        <v>129</v>
      </c>
      <c r="AA57" s="47">
        <f t="shared" si="9"/>
        <v>0.0681818181818182</v>
      </c>
      <c r="AB57" s="47">
        <f t="shared" si="10"/>
        <v>-0.970216286490958</v>
      </c>
      <c r="AC57" s="47"/>
      <c r="AD57" s="47"/>
      <c r="AE57" s="47"/>
    </row>
    <row r="58" ht="14.25" customHeight="1">
      <c r="B58" s="63"/>
      <c r="C58" s="64"/>
      <c r="D58" s="65"/>
      <c r="E58" s="65"/>
      <c r="F58" s="56"/>
      <c r="G58" s="57"/>
      <c r="H58" s="56"/>
      <c r="I58" s="57"/>
      <c r="J58" s="58"/>
      <c r="K58" s="58"/>
      <c r="L58" s="59"/>
      <c r="M58" s="56"/>
      <c r="N58" s="58"/>
      <c r="O58" s="58"/>
      <c r="P58" s="56"/>
      <c r="Q58" s="56"/>
      <c r="R58" s="56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ht="14.25" customHeight="1">
      <c r="B59" s="63"/>
      <c r="C59" s="64"/>
      <c r="D59" s="65"/>
      <c r="E59" s="65"/>
      <c r="F59" s="56"/>
      <c r="G59" s="57"/>
      <c r="H59" s="56"/>
      <c r="I59" s="57"/>
      <c r="J59" s="58"/>
      <c r="K59" s="58"/>
      <c r="L59" s="59"/>
      <c r="M59" s="56"/>
      <c r="N59" s="58"/>
      <c r="O59" s="58"/>
      <c r="P59" s="56"/>
      <c r="Q59" s="56"/>
      <c r="R59" s="56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ht="14.25" customHeight="1">
      <c r="B60" s="63"/>
      <c r="C60" s="64"/>
      <c r="D60" s="65"/>
      <c r="E60" s="65"/>
      <c r="F60" s="56"/>
      <c r="G60" s="57"/>
      <c r="H60" s="56"/>
      <c r="I60" s="57"/>
      <c r="J60" s="58"/>
      <c r="K60" s="58"/>
      <c r="L60" s="59"/>
      <c r="M60" s="56"/>
      <c r="N60" s="58"/>
      <c r="O60" s="58"/>
      <c r="P60" s="56"/>
      <c r="Q60" s="56"/>
      <c r="R60" s="56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ht="14.25" customHeight="1">
      <c r="B61" s="63"/>
      <c r="C61" s="64"/>
      <c r="D61" s="65"/>
      <c r="E61" s="65"/>
      <c r="F61" s="56"/>
      <c r="G61" s="57"/>
      <c r="H61" s="56"/>
      <c r="I61" s="57"/>
      <c r="J61" s="58"/>
      <c r="K61" s="58"/>
      <c r="L61" s="59"/>
      <c r="M61" s="56"/>
      <c r="N61" s="58"/>
      <c r="O61" s="58"/>
      <c r="P61" s="56"/>
      <c r="Q61" s="56"/>
      <c r="R61" s="56"/>
    </row>
    <row r="62" ht="14.25" customHeight="1">
      <c r="B62" s="63"/>
      <c r="C62" s="64"/>
      <c r="D62" s="65"/>
      <c r="E62" s="65"/>
      <c r="F62" s="56"/>
      <c r="G62" s="57"/>
      <c r="H62" s="56"/>
      <c r="I62" s="57"/>
      <c r="J62" s="58"/>
      <c r="K62" s="58"/>
      <c r="L62" s="59"/>
      <c r="M62" s="56"/>
      <c r="N62" s="58"/>
      <c r="O62" s="58"/>
      <c r="P62" s="56"/>
      <c r="Q62" s="56"/>
      <c r="R62" s="56"/>
    </row>
    <row r="63" ht="14.25" customHeight="1">
      <c r="B63" s="63"/>
      <c r="C63" s="64"/>
      <c r="D63" s="65"/>
      <c r="E63" s="65"/>
      <c r="F63" s="56"/>
      <c r="G63" s="57"/>
      <c r="H63" s="56"/>
      <c r="I63" s="57"/>
      <c r="J63" s="58"/>
      <c r="K63" s="58"/>
      <c r="L63" s="59"/>
      <c r="M63" s="56"/>
      <c r="N63" s="58"/>
      <c r="O63" s="58"/>
      <c r="P63" s="56"/>
      <c r="Q63" s="56"/>
      <c r="R63" s="56"/>
    </row>
    <row r="64" ht="14.25" customHeight="1">
      <c r="B64" s="63"/>
      <c r="C64" s="64"/>
      <c r="D64" s="65"/>
      <c r="E64" s="65"/>
      <c r="F64" s="56"/>
      <c r="G64" s="57"/>
      <c r="H64" s="56"/>
      <c r="I64" s="57"/>
      <c r="J64" s="58"/>
      <c r="K64" s="58"/>
      <c r="L64" s="59"/>
      <c r="M64" s="56"/>
      <c r="N64" s="58"/>
      <c r="O64" s="58"/>
      <c r="P64" s="56"/>
      <c r="Q64" s="56"/>
      <c r="R64" s="56"/>
    </row>
    <row r="65" ht="14.25" customHeight="1">
      <c r="B65" s="63"/>
      <c r="C65" s="64"/>
      <c r="D65" s="65"/>
      <c r="E65" s="65"/>
      <c r="F65" s="56"/>
      <c r="G65" s="57"/>
      <c r="H65" s="56"/>
      <c r="I65" s="57"/>
      <c r="J65" s="58"/>
      <c r="K65" s="58"/>
      <c r="L65" s="59"/>
      <c r="M65" s="56"/>
      <c r="N65" s="58"/>
      <c r="O65" s="58"/>
      <c r="P65" s="56"/>
      <c r="Q65" s="56"/>
      <c r="R65" s="56"/>
    </row>
    <row r="66" ht="14.25" customHeight="1">
      <c r="B66" s="63"/>
      <c r="C66" s="64"/>
      <c r="D66" s="65"/>
      <c r="E66" s="65"/>
      <c r="F66" s="56"/>
      <c r="G66" s="57"/>
      <c r="H66" s="56"/>
      <c r="I66" s="57"/>
      <c r="J66" s="58"/>
      <c r="K66" s="58"/>
      <c r="L66" s="59"/>
      <c r="M66" s="56"/>
      <c r="N66" s="58"/>
      <c r="O66" s="58"/>
      <c r="P66" s="56"/>
      <c r="Q66" s="56"/>
      <c r="R66" s="56"/>
    </row>
    <row r="67" ht="14.25" customHeight="1">
      <c r="B67" s="63"/>
      <c r="C67" s="64"/>
      <c r="D67" s="65"/>
      <c r="E67" s="65"/>
      <c r="F67" s="56"/>
      <c r="G67" s="57"/>
      <c r="H67" s="56"/>
      <c r="I67" s="57"/>
      <c r="J67" s="58"/>
      <c r="K67" s="58"/>
      <c r="L67" s="59"/>
      <c r="M67" s="56"/>
      <c r="N67" s="58"/>
      <c r="O67" s="58"/>
      <c r="P67" s="56"/>
      <c r="Q67" s="56"/>
      <c r="R67" s="56"/>
    </row>
    <row r="68" ht="14.25" customHeight="1">
      <c r="B68" s="63"/>
      <c r="C68" s="64"/>
      <c r="D68" s="65"/>
      <c r="E68" s="65"/>
      <c r="F68" s="56"/>
      <c r="G68" s="57"/>
      <c r="H68" s="56"/>
      <c r="I68" s="57"/>
      <c r="J68" s="58"/>
      <c r="K68" s="58"/>
      <c r="L68" s="59"/>
      <c r="M68" s="56"/>
      <c r="N68" s="58"/>
      <c r="O68" s="58"/>
      <c r="P68" s="56"/>
      <c r="Q68" s="56"/>
      <c r="R68" s="56"/>
    </row>
    <row r="69" ht="14.25" customHeight="1">
      <c r="B69" s="63"/>
      <c r="C69" s="64"/>
      <c r="D69" s="65"/>
      <c r="E69" s="65"/>
      <c r="F69" s="56"/>
      <c r="G69" s="57"/>
      <c r="H69" s="56"/>
      <c r="I69" s="57"/>
      <c r="J69" s="58"/>
      <c r="K69" s="58"/>
      <c r="L69" s="59"/>
      <c r="M69" s="56"/>
      <c r="N69" s="58"/>
      <c r="O69" s="58"/>
      <c r="P69" s="56"/>
      <c r="Q69" s="56"/>
      <c r="R69" s="56"/>
    </row>
    <row r="70" ht="14.25" customHeight="1">
      <c r="B70" s="63"/>
      <c r="C70" s="64"/>
      <c r="D70" s="65"/>
      <c r="E70" s="65"/>
      <c r="F70" s="56"/>
      <c r="G70" s="57"/>
      <c r="H70" s="56"/>
      <c r="I70" s="57"/>
      <c r="J70" s="58"/>
      <c r="K70" s="58"/>
      <c r="L70" s="59"/>
      <c r="M70" s="56"/>
      <c r="N70" s="58"/>
      <c r="O70" s="58"/>
      <c r="P70" s="56"/>
      <c r="Q70" s="56"/>
      <c r="R70" s="56"/>
    </row>
    <row r="71" ht="14.25" customHeight="1">
      <c r="B71" s="63"/>
      <c r="C71" s="64"/>
      <c r="D71" s="65"/>
      <c r="E71" s="65"/>
      <c r="F71" s="56"/>
      <c r="G71" s="57"/>
      <c r="H71" s="56"/>
      <c r="I71" s="57"/>
      <c r="J71" s="58"/>
      <c r="K71" s="58"/>
      <c r="L71" s="59"/>
      <c r="M71" s="56"/>
      <c r="N71" s="58"/>
      <c r="O71" s="58"/>
      <c r="P71" s="56"/>
      <c r="Q71" s="56"/>
      <c r="R71" s="56"/>
    </row>
    <row r="72" ht="14.25" customHeight="1">
      <c r="B72" s="63"/>
      <c r="C72" s="64"/>
      <c r="D72" s="65"/>
      <c r="E72" s="65"/>
      <c r="F72" s="56"/>
      <c r="G72" s="57"/>
      <c r="H72" s="56"/>
      <c r="I72" s="57"/>
      <c r="J72" s="58"/>
      <c r="K72" s="58"/>
      <c r="L72" s="59"/>
      <c r="M72" s="56"/>
      <c r="N72" s="58"/>
      <c r="O72" s="58"/>
      <c r="P72" s="56"/>
      <c r="Q72" s="56"/>
      <c r="R72" s="56"/>
    </row>
    <row r="73" ht="14.25" customHeight="1">
      <c r="B73" s="63"/>
      <c r="C73" s="64"/>
      <c r="D73" s="65"/>
      <c r="E73" s="65"/>
      <c r="F73" s="56"/>
      <c r="G73" s="57"/>
      <c r="H73" s="56"/>
      <c r="I73" s="57"/>
      <c r="J73" s="58"/>
      <c r="K73" s="58"/>
      <c r="L73" s="59"/>
      <c r="M73" s="56"/>
      <c r="N73" s="58"/>
      <c r="O73" s="58"/>
      <c r="P73" s="56"/>
      <c r="Q73" s="56"/>
      <c r="R73" s="56"/>
    </row>
    <row r="74" ht="14.25" customHeight="1">
      <c r="B74" s="63"/>
      <c r="C74" s="64"/>
      <c r="D74" s="65"/>
      <c r="E74" s="65"/>
      <c r="F74" s="56"/>
      <c r="G74" s="57"/>
      <c r="H74" s="56"/>
      <c r="I74" s="57"/>
      <c r="J74" s="58"/>
      <c r="K74" s="58"/>
      <c r="L74" s="59"/>
      <c r="M74" s="56"/>
      <c r="N74" s="58"/>
      <c r="O74" s="58"/>
      <c r="P74" s="56"/>
      <c r="Q74" s="56"/>
      <c r="R74" s="56"/>
    </row>
    <row r="75" ht="14.25" customHeight="1">
      <c r="B75" s="63"/>
      <c r="C75" s="64"/>
      <c r="D75" s="65"/>
      <c r="E75" s="65"/>
      <c r="F75" s="56"/>
      <c r="G75" s="57"/>
      <c r="H75" s="56"/>
      <c r="I75" s="57"/>
      <c r="J75" s="58"/>
      <c r="K75" s="58"/>
      <c r="L75" s="59"/>
      <c r="M75" s="56"/>
      <c r="N75" s="58"/>
      <c r="O75" s="58"/>
      <c r="P75" s="56"/>
      <c r="Q75" s="56"/>
      <c r="R75" s="56"/>
    </row>
    <row r="76" ht="14.25" customHeight="1">
      <c r="B76" s="63"/>
      <c r="C76" s="64"/>
      <c r="D76" s="65"/>
      <c r="E76" s="65"/>
      <c r="F76" s="56"/>
      <c r="G76" s="57"/>
      <c r="H76" s="56"/>
      <c r="I76" s="57"/>
      <c r="J76" s="58"/>
      <c r="K76" s="58"/>
      <c r="L76" s="59"/>
      <c r="M76" s="56"/>
      <c r="N76" s="58"/>
      <c r="O76" s="58"/>
      <c r="P76" s="56"/>
      <c r="Q76" s="56"/>
      <c r="R76" s="56"/>
    </row>
    <row r="77" ht="14.25" customHeight="1">
      <c r="B77" s="63"/>
      <c r="C77" s="64"/>
      <c r="D77" s="65"/>
      <c r="E77" s="65"/>
      <c r="F77" s="56"/>
      <c r="G77" s="57"/>
      <c r="H77" s="56"/>
      <c r="I77" s="57"/>
      <c r="J77" s="58"/>
      <c r="K77" s="58"/>
      <c r="L77" s="59"/>
      <c r="M77" s="56"/>
      <c r="N77" s="58"/>
      <c r="O77" s="58"/>
      <c r="P77" s="56"/>
      <c r="Q77" s="56"/>
      <c r="R77" s="56"/>
    </row>
    <row r="78" ht="14.25" customHeight="1">
      <c r="B78" s="63"/>
      <c r="C78" s="64"/>
      <c r="D78" s="65"/>
      <c r="E78" s="65"/>
      <c r="F78" s="56"/>
      <c r="G78" s="57"/>
      <c r="H78" s="56"/>
      <c r="I78" s="57"/>
      <c r="J78" s="58"/>
      <c r="K78" s="58"/>
      <c r="L78" s="59"/>
      <c r="M78" s="56"/>
      <c r="N78" s="58"/>
      <c r="O78" s="58"/>
      <c r="P78" s="56"/>
      <c r="Q78" s="56"/>
      <c r="R78" s="56"/>
    </row>
    <row r="79" ht="14.25" customHeight="1">
      <c r="B79" s="63"/>
      <c r="C79" s="64"/>
      <c r="D79" s="65"/>
      <c r="E79" s="65"/>
      <c r="F79" s="56"/>
      <c r="G79" s="57"/>
      <c r="H79" s="56"/>
      <c r="I79" s="57"/>
      <c r="J79" s="58"/>
      <c r="K79" s="58"/>
      <c r="L79" s="59"/>
      <c r="M79" s="56"/>
      <c r="N79" s="58"/>
      <c r="O79" s="58"/>
      <c r="P79" s="56"/>
      <c r="Q79" s="56"/>
      <c r="R79" s="56"/>
    </row>
    <row r="80" ht="14.25" customHeight="1">
      <c r="B80" s="63"/>
      <c r="C80" s="64"/>
      <c r="D80" s="65"/>
      <c r="E80" s="65"/>
      <c r="F80" s="56"/>
      <c r="G80" s="57"/>
      <c r="H80" s="56"/>
      <c r="I80" s="57"/>
      <c r="J80" s="58"/>
      <c r="K80" s="58"/>
      <c r="L80" s="59"/>
      <c r="M80" s="56"/>
      <c r="N80" s="58"/>
      <c r="O80" s="58"/>
      <c r="P80" s="56"/>
      <c r="Q80" s="56"/>
      <c r="R80" s="56"/>
    </row>
    <row r="81" ht="14.25" customHeight="1">
      <c r="B81" s="63"/>
      <c r="C81" s="64"/>
      <c r="D81" s="65"/>
      <c r="E81" s="65"/>
      <c r="F81" s="56"/>
      <c r="G81" s="57"/>
      <c r="H81" s="56"/>
      <c r="I81" s="57"/>
      <c r="J81" s="58"/>
      <c r="K81" s="58"/>
      <c r="L81" s="59"/>
      <c r="M81" s="56"/>
      <c r="N81" s="58"/>
      <c r="O81" s="58"/>
      <c r="P81" s="56"/>
      <c r="Q81" s="56"/>
      <c r="R81" s="56"/>
    </row>
    <row r="82" ht="14.25" customHeight="1">
      <c r="B82" s="63"/>
      <c r="C82" s="64"/>
      <c r="D82" s="65"/>
      <c r="E82" s="65"/>
      <c r="F82" s="56"/>
      <c r="G82" s="57"/>
      <c r="H82" s="56"/>
      <c r="I82" s="57"/>
      <c r="J82" s="58"/>
      <c r="K82" s="58"/>
      <c r="L82" s="59"/>
      <c r="M82" s="56"/>
      <c r="N82" s="58"/>
      <c r="O82" s="58"/>
      <c r="P82" s="56"/>
      <c r="Q82" s="56"/>
      <c r="R82" s="56"/>
    </row>
    <row r="83" ht="14.25" customHeight="1">
      <c r="B83" s="63"/>
      <c r="C83" s="64"/>
      <c r="D83" s="65"/>
      <c r="E83" s="65"/>
      <c r="F83" s="56"/>
      <c r="G83" s="57"/>
      <c r="H83" s="56"/>
      <c r="I83" s="57"/>
      <c r="J83" s="58"/>
      <c r="K83" s="58"/>
      <c r="L83" s="59"/>
      <c r="M83" s="56"/>
      <c r="N83" s="58"/>
      <c r="O83" s="58"/>
      <c r="P83" s="56"/>
      <c r="Q83" s="56"/>
      <c r="R83" s="56"/>
    </row>
    <row r="84" ht="14.25" customHeight="1">
      <c r="B84" s="63"/>
      <c r="C84" s="64"/>
      <c r="D84" s="65"/>
      <c r="E84" s="65"/>
      <c r="F84" s="56"/>
      <c r="G84" s="57"/>
      <c r="H84" s="56"/>
      <c r="I84" s="57"/>
      <c r="J84" s="58"/>
      <c r="K84" s="58"/>
      <c r="L84" s="59"/>
      <c r="M84" s="56"/>
      <c r="N84" s="58"/>
      <c r="O84" s="58"/>
      <c r="P84" s="56"/>
      <c r="Q84" s="56"/>
      <c r="R84" s="56"/>
    </row>
    <row r="85" ht="14.25" customHeight="1">
      <c r="B85" s="63"/>
      <c r="C85" s="64"/>
      <c r="D85" s="65"/>
      <c r="E85" s="65"/>
      <c r="F85" s="56"/>
      <c r="G85" s="57"/>
      <c r="H85" s="56"/>
      <c r="I85" s="57"/>
      <c r="J85" s="58"/>
      <c r="K85" s="58"/>
      <c r="L85" s="59"/>
      <c r="M85" s="56"/>
      <c r="N85" s="58"/>
      <c r="O85" s="58"/>
      <c r="P85" s="56"/>
      <c r="Q85" s="56"/>
      <c r="R85" s="56"/>
    </row>
    <row r="86" ht="14.25" customHeight="1">
      <c r="B86" s="63"/>
      <c r="C86" s="64"/>
      <c r="D86" s="65"/>
      <c r="E86" s="65"/>
      <c r="F86" s="56"/>
      <c r="G86" s="57"/>
      <c r="H86" s="56"/>
      <c r="I86" s="57"/>
      <c r="J86" s="58"/>
      <c r="K86" s="58"/>
      <c r="L86" s="59"/>
      <c r="M86" s="56"/>
      <c r="N86" s="58"/>
      <c r="O86" s="58"/>
      <c r="P86" s="56"/>
      <c r="Q86" s="56"/>
      <c r="R86" s="56"/>
    </row>
    <row r="87" ht="14.25" customHeight="1">
      <c r="B87" s="63"/>
      <c r="C87" s="64"/>
      <c r="D87" s="65"/>
      <c r="E87" s="65"/>
      <c r="F87" s="56"/>
      <c r="G87" s="57"/>
      <c r="H87" s="56"/>
      <c r="I87" s="57"/>
      <c r="J87" s="58"/>
      <c r="K87" s="58"/>
      <c r="L87" s="59"/>
      <c r="M87" s="56"/>
      <c r="N87" s="58"/>
      <c r="O87" s="58"/>
      <c r="P87" s="56"/>
      <c r="Q87" s="56"/>
      <c r="R87" s="56"/>
    </row>
  </sheetData>
  <sheetProtection sort="1" autoFilter="0"/>
  <conditionalFormatting sqref="C10:E10">
    <cfRule type="cellIs" dxfId="0" priority="79" operator="greaterThan" text="null">
      <formula>0</formula>
    </cfRule>
  </conditionalFormatting>
  <conditionalFormatting sqref="C10:E10">
    <cfRule type="cellIs" dxfId="1" priority="80" operator="lessThan" text="null">
      <formula>0</formula>
    </cfRule>
  </conditionalFormatting>
  <conditionalFormatting sqref="G10">
    <cfRule type="cellIs" dxfId="0" priority="81" operator="greaterThan" text="null">
      <formula>0</formula>
    </cfRule>
  </conditionalFormatting>
  <conditionalFormatting sqref="G10">
    <cfRule type="cellIs" dxfId="1" priority="82" operator="lessThan" text="null">
      <formula>0</formula>
    </cfRule>
  </conditionalFormatting>
  <conditionalFormatting sqref="I10">
    <cfRule type="cellIs" dxfId="0" priority="83" operator="greaterThan" text="null">
      <formula>0</formula>
    </cfRule>
  </conditionalFormatting>
  <conditionalFormatting sqref="I10">
    <cfRule type="cellIs" dxfId="1" priority="84" operator="lessThan" text="null">
      <formula>0</formula>
    </cfRule>
  </conditionalFormatting>
  <conditionalFormatting sqref="K10">
    <cfRule type="cellIs" dxfId="0" priority="85" operator="greaterThan" text="null">
      <formula>0</formula>
    </cfRule>
  </conditionalFormatting>
  <conditionalFormatting sqref="K10">
    <cfRule type="cellIs" dxfId="1" priority="86" operator="lessThan" text="null">
      <formula>0</formula>
    </cfRule>
  </conditionalFormatting>
  <conditionalFormatting sqref="M10">
    <cfRule type="cellIs" dxfId="1" priority="87" operator="greaterThan" text="null">
      <formula>0</formula>
    </cfRule>
  </conditionalFormatting>
  <conditionalFormatting sqref="M10">
    <cfRule type="cellIs" dxfId="0" priority="88" operator="lessThan" text="null">
      <formula>0</formula>
    </cfRule>
  </conditionalFormatting>
  <conditionalFormatting sqref="R38:R106">
    <cfRule type="expression" dxfId="2" priority="22" text="null">
      <formula>$B38=2</formula>
    </cfRule>
  </conditionalFormatting>
  <conditionalFormatting sqref="B38:O106">
    <cfRule type="expression" dxfId="3" priority="11" text="null">
      <formula>$B38=3</formula>
    </cfRule>
  </conditionalFormatting>
  <conditionalFormatting sqref="B38:O106">
    <cfRule type="expression" dxfId="4" priority="12" text="null">
      <formula>$B38=4</formula>
    </cfRule>
  </conditionalFormatting>
  <conditionalFormatting sqref="B38:Q106">
    <cfRule type="expression" dxfId="2" priority="10" text="null">
      <formula>$B38=2</formula>
    </cfRule>
  </conditionalFormatting>
  <conditionalFormatting sqref="G38:G106">
    <cfRule type="cellIs" dxfId="5" priority="4" operator="greaterThan" text="null">
      <formula>0</formula>
    </cfRule>
  </conditionalFormatting>
  <conditionalFormatting sqref="G38:G106">
    <cfRule type="cellIs" dxfId="6" priority="5" operator="lessThan" text="null">
      <formula>0</formula>
    </cfRule>
  </conditionalFormatting>
  <conditionalFormatting sqref="I38:I106">
    <cfRule type="cellIs" dxfId="5" priority="6" operator="greaterThan" text="null">
      <formula>0</formula>
    </cfRule>
  </conditionalFormatting>
  <conditionalFormatting sqref="I38:I106">
    <cfRule type="cellIs" dxfId="6" priority="7" operator="lessThan" text="null">
      <formula>0</formula>
    </cfRule>
  </conditionalFormatting>
  <conditionalFormatting sqref="J38:J106">
    <cfRule type="dataBar" priority="3">
      <dataBar>
        <cfvo type="num" val="0"/>
        <cfvo type="num" val="1"/>
        <color rgb="FFB8CFEC"/>
      </dataBar>
      <extLst>
        <ext xmlns:x14="http://schemas.microsoft.com/office/spreadsheetml/2009/9/main" uri="{B025F937-C7B1-47D3-B67F-A62EFF666E3E}">
          <x14:id>{c882e8ae-a419-4254-9a48-3219133e86e2}</x14:id>
        </ext>
      </extLst>
    </cfRule>
  </conditionalFormatting>
  <conditionalFormatting sqref="K38:K106">
    <cfRule type="colorScale" priority="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L38:L106">
    <cfRule type="cellIs" dxfId="5" priority="8" operator="greaterThan" text="null">
      <formula>0</formula>
    </cfRule>
  </conditionalFormatting>
  <conditionalFormatting sqref="L38:L106">
    <cfRule type="cellIs" dxfId="6" priority="9" operator="lessThan" text="null">
      <formula>0</formula>
    </cfRule>
  </conditionalFormatting>
  <conditionalFormatting sqref="N38:N106">
    <cfRule type="colorScale" priority="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82e8ae-a419-4254-9a48-3219133e86e2}">
            <x14:dataBar minLength="0" maxLength="100" direction="leftToRight">
              <x14:color rgb="FFB8CFEC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J38:J106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295C09-C368-B1AD-5DE8-0B40E2A05378}" mc:Ignorable="x14ac xr xr2 xr3">
  <dimension ref="A1:CE82"/>
  <sheetViews>
    <sheetView topLeftCell="A7" workbookViewId="0">
      <selection activeCell="B11" sqref="B11"/>
    </sheetView>
  </sheetViews>
  <sheetFormatPr defaultRowHeight="14.25" defaultColWidth="9.00390625" customHeight="1"/>
  <cols>
    <col min="1" max="1" width="2.421875" customWidth="1"/>
    <col min="2" max="2" width="26.00390625" customWidth="1"/>
    <col min="3" max="4" width="11.00390625" customWidth="1"/>
    <col min="5" max="5" width="12.00390625" customWidth="1"/>
    <col min="6" max="7" width="13.00390625" customWidth="1"/>
    <col min="8" max="9" width="15.00390625" customWidth="1"/>
    <col min="10" max="10" width="19.00390625" customWidth="1"/>
    <col min="11" max="12" width="14.00390625" customWidth="1"/>
    <col min="13" max="14" width="12.00390625" customWidth="1"/>
    <col min="15" max="16" width="13.00390625" customWidth="1"/>
    <col min="18" max="18" width="3.00390625" customWidth="1"/>
    <col min="19" max="23" width="15.00390625" customWidth="1"/>
  </cols>
  <sheetData>
    <row r="1" ht="8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</row>
    <row r="2" ht="8.2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</row>
    <row r="3" ht="26.25" customHeight="1">
      <c r="A3" s="67"/>
      <c r="B3" s="67"/>
      <c r="C3" s="67" t="s">
        <v>83</v>
      </c>
      <c r="D3" s="68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</row>
    <row r="4" ht="15" customHeight="1" s="69" customFormat="1">
      <c r="A4" s="70"/>
      <c r="B4" s="70"/>
      <c r="C4" s="70" t="s">
        <v>84</v>
      </c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</row>
    <row r="6" ht="24" customHeight="1">
      <c r="A6" s="10"/>
      <c r="B6" s="73" t="e">
        <f>"L'EBITDA passe de "&amp;TEXT(C12,"#,##0 €")&amp;" à "&amp;TEXT(C18,"#,##0 €")&amp;", soit "&amp;TEXT(C18-C12,"+#,##0 €;-#,##0 €")&amp;"  ("&amp;TEXT(C18/C12-1,"+0.0%;-0.0%")&amp;")"</f>
        <v>#DIV/0!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</row>
    <row r="7" ht="14.25" customHeight="1">
      <c r="A7" s="10"/>
      <c r="B7" s="74" t="s">
        <v>85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</row>
    <row r="8" ht="8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</row>
    <row r="10" ht="15" customHeight="1">
      <c r="A10" s="10"/>
      <c r="B10" s="75" t="s">
        <v>86</v>
      </c>
      <c r="C10" s="10"/>
      <c r="D10" s="76" t="s">
        <v>87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ht="22.5" customHeight="1">
      <c r="A11" s="10"/>
      <c r="B11" s="77" t="s">
        <v>88</v>
      </c>
      <c r="C11" s="78" t="s">
        <v>89</v>
      </c>
      <c r="D11" s="78" t="s">
        <v>90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</row>
    <row r="12" ht="15" customHeight="1">
      <c r="A12" s="10"/>
      <c r="B12" s="79" t="s">
        <v>24</v>
      </c>
      <c r="C12" s="80">
        <f>O43</f>
        <v>0</v>
      </c>
      <c r="D12" s="8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</row>
    <row r="13" ht="15" customHeight="1">
      <c r="A13" s="10"/>
      <c r="B13" s="82" t="s">
        <v>91</v>
      </c>
      <c r="C13" s="83">
        <f>S43</f>
        <v>0</v>
      </c>
      <c r="D13" s="84" t="str">
        <f>_xlfn.IFERROR(IF(C13&gt;0,C13/SUMIF(C13:C17,"&gt;0"),C13/SUMIF(C13:C17,"&lt;0")),"")</f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</row>
    <row r="14" ht="15" customHeight="1">
      <c r="A14" s="10"/>
      <c r="B14" s="82" t="s">
        <v>93</v>
      </c>
      <c r="C14" s="83">
        <f>T43</f>
        <v>0</v>
      </c>
      <c r="D14" s="84" t="str">
        <f>_xlfn.IFERROR(IF(C14&gt;0,C14/SUMIF(C13:C17,"&gt;0"),C14/SUMIF(C13:C17,"&lt;0")),"")</f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</row>
    <row r="15" ht="15" customHeight="1">
      <c r="A15" s="10"/>
      <c r="B15" s="82" t="s">
        <v>94</v>
      </c>
      <c r="C15" s="83">
        <f>U43</f>
        <v>0</v>
      </c>
      <c r="D15" s="84" t="str">
        <f>_xlfn.IFERROR(IF(C15&gt;0,C15/SUMIF(C13:C17,"&gt;0"),C15/SUMIF(C13:C17,"&lt;0")),"")</f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</row>
    <row r="16" ht="15" customHeight="1">
      <c r="A16" s="10"/>
      <c r="B16" s="82" t="s">
        <v>95</v>
      </c>
      <c r="C16" s="83">
        <f>V43</f>
        <v>0</v>
      </c>
      <c r="D16" s="84" t="str">
        <f>_xlfn.IFERROR(IF(C16&gt;0,C16/SUMIF(C13:C17,"&gt;0"),C16/SUMIF(C13:C17,"&lt;0")),"")</f>
        <v/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</row>
    <row r="17" ht="15" customHeight="1">
      <c r="A17" s="10"/>
      <c r="B17" s="82" t="s">
        <v>96</v>
      </c>
      <c r="C17" s="83">
        <f>W43</f>
        <v>0</v>
      </c>
      <c r="D17" s="84" t="str">
        <f>_xlfn.IFERROR(IF(C17&gt;0,C17/SUMIF(C13:C17,"&gt;0"),C17/SUMIF(C13:C17,"&lt;0")),"")</f>
        <v/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</row>
    <row r="18" ht="15" customHeight="1">
      <c r="A18" s="10"/>
      <c r="B18" s="79" t="s">
        <v>41</v>
      </c>
      <c r="C18" s="80">
        <f>P43</f>
        <v>0</v>
      </c>
      <c r="D18" s="8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</row>
    <row r="19" ht="15" customHeight="1">
      <c r="A19" s="10"/>
      <c r="B19" s="85" t="s">
        <v>97</v>
      </c>
      <c r="C19" s="86">
        <f>SUMIF($C$13:$C$17,"&gt;0")</f>
        <v>0</v>
      </c>
      <c r="D19" s="87">
        <f>SUMIF(C13:C17,"&lt;0")</f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</row>
    <row r="21" ht="15" customHeight="1">
      <c r="A21" s="10"/>
      <c r="B21" s="88" t="s">
        <v>98</v>
      </c>
      <c r="C21" s="89">
        <f>SUM(C13:C17)-(C18-C12)</f>
        <v>0</v>
      </c>
      <c r="D21" s="90" t="s">
        <v>99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</row>
    <row r="29" ht="20.25" customHeight="1" hidden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</row>
    <row r="30" ht="14.25" customHeight="1" hidden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s">
        <v>24</v>
      </c>
      <c r="Z30" s="10">
        <v>0</v>
      </c>
      <c r="AA30" s="10">
        <f t="shared" si="2" ref="AA30:AA36">C12</f>
        <v>0</v>
      </c>
      <c r="AB30" s="10">
        <v>0</v>
      </c>
      <c r="AC30" s="10">
        <v>0</v>
      </c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</row>
    <row r="31" ht="14.25" customHeight="1" hidden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s">
        <v>91</v>
      </c>
      <c r="Z31" s="10">
        <f>MIN(C12,C12+SUM(C13:C13))</f>
        <v>0</v>
      </c>
      <c r="AA31" s="10">
        <v>0</v>
      </c>
      <c r="AB31" s="10">
        <f t="shared" si="0" ref="AB31:AB35">MAX(C13,0)</f>
        <v>0</v>
      </c>
      <c r="AC31" s="10">
        <f t="shared" si="1" ref="AC31:AC35">MAX(-C13,0)</f>
        <v>0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</row>
    <row r="32" ht="14.25" customHeight="1" hidden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 t="s">
        <v>93</v>
      </c>
      <c r="Z32" s="10">
        <f>MIN(C12+SUM(C13:C13),C12+SUM(C13:C14))</f>
        <v>0</v>
      </c>
      <c r="AA32" s="10">
        <v>0</v>
      </c>
      <c r="AB32" s="10">
        <f t="shared" si="0"/>
        <v>0</v>
      </c>
      <c r="AC32" s="10">
        <f t="shared" si="1"/>
        <v>0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</row>
    <row r="33" ht="14.25" customHeight="1" hidden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 t="s">
        <v>94</v>
      </c>
      <c r="Z33" s="10">
        <f>MIN(C12+SUM(C13:C14),C12+SUM(C13:C15))</f>
        <v>0</v>
      </c>
      <c r="AA33" s="10">
        <v>0</v>
      </c>
      <c r="AB33" s="10">
        <f t="shared" si="0"/>
        <v>0</v>
      </c>
      <c r="AC33" s="10">
        <f t="shared" si="1"/>
        <v>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</row>
    <row r="34" ht="14.25" customHeight="1" hidden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 t="s">
        <v>95</v>
      </c>
      <c r="Z34" s="10">
        <f>MIN(C12+SUM(C13:C15),C12+SUM(C13:C16))</f>
        <v>0</v>
      </c>
      <c r="AA34" s="10">
        <v>0</v>
      </c>
      <c r="AB34" s="10">
        <f t="shared" si="0"/>
        <v>0</v>
      </c>
      <c r="AC34" s="10">
        <f t="shared" si="1"/>
        <v>0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</row>
    <row r="35" ht="14.25" customHeight="1" hidden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s">
        <v>96</v>
      </c>
      <c r="Z35" s="10">
        <f>MIN(C12+SUM(C13:C16),C12+SUM(C13:C17))</f>
        <v>0</v>
      </c>
      <c r="AA35" s="10">
        <v>0</v>
      </c>
      <c r="AB35" s="10">
        <f t="shared" si="0"/>
        <v>0</v>
      </c>
      <c r="AC35" s="10">
        <f t="shared" si="1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</row>
    <row r="36" ht="14.25" customHeight="1" hidden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 t="s">
        <v>41</v>
      </c>
      <c r="Z36" s="10">
        <v>0</v>
      </c>
      <c r="AA36" s="10">
        <f t="shared" si="2"/>
        <v>0</v>
      </c>
      <c r="AB36" s="10">
        <v>0</v>
      </c>
      <c r="AC36" s="10">
        <v>0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</row>
    <row r="37" ht="14.25" customHeight="1" hidden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</row>
    <row r="38" ht="14.25" customHeight="1" hidden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</row>
    <row r="41" ht="14.25" customHeight="1">
      <c r="A41" s="10"/>
      <c r="B41" s="75" t="s">
        <v>100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76" t="s">
        <v>101</v>
      </c>
      <c r="Q41" s="10"/>
      <c r="R41" s="10"/>
      <c r="S41" s="75" t="s">
        <v>102</v>
      </c>
      <c r="T41" s="10"/>
      <c r="U41" s="10"/>
      <c r="V41" s="10"/>
      <c r="W41" s="76" t="s">
        <v>103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</row>
    <row r="42" ht="20.25" customHeight="1">
      <c r="A42" s="10"/>
      <c r="B42" s="77" t="s">
        <v>104</v>
      </c>
      <c r="C42" s="78" t="s">
        <v>105</v>
      </c>
      <c r="D42" s="78" t="s">
        <v>106</v>
      </c>
      <c r="E42" s="78" t="s">
        <v>107</v>
      </c>
      <c r="F42" s="78" t="s">
        <v>108</v>
      </c>
      <c r="G42" s="78" t="s">
        <v>109</v>
      </c>
      <c r="H42" s="78" t="s">
        <v>110</v>
      </c>
      <c r="I42" s="78" t="s">
        <v>111</v>
      </c>
      <c r="J42" s="78" t="s">
        <v>112</v>
      </c>
      <c r="K42" s="78" t="s">
        <v>113</v>
      </c>
      <c r="L42" s="78" t="s">
        <v>114</v>
      </c>
      <c r="M42" s="78" t="s">
        <v>115</v>
      </c>
      <c r="N42" s="78" t="s">
        <v>116</v>
      </c>
      <c r="O42" s="78" t="s">
        <v>24</v>
      </c>
      <c r="P42" s="78" t="s">
        <v>41</v>
      </c>
      <c r="Q42" s="10"/>
      <c r="R42" s="10"/>
      <c r="S42" s="77" t="s">
        <v>91</v>
      </c>
      <c r="T42" s="78" t="s">
        <v>93</v>
      </c>
      <c r="U42" s="78" t="s">
        <v>94</v>
      </c>
      <c r="V42" s="78" t="s">
        <v>95</v>
      </c>
      <c r="W42" s="78" t="s">
        <v>96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</row>
    <row r="43" ht="14.25" customHeight="1">
      <c r="A43" s="10"/>
      <c r="B43" s="91" t="s">
        <v>117</v>
      </c>
      <c r="C43" s="92">
        <f t="shared" si="3" ref="C43:W43">SUM(C44:C73)</f>
        <v>0</v>
      </c>
      <c r="D43" s="92">
        <f t="shared" si="3"/>
        <v>0</v>
      </c>
      <c r="E43" s="92">
        <f t="shared" si="3"/>
        <v>0</v>
      </c>
      <c r="F43" s="93" t="s">
        <v>118</v>
      </c>
      <c r="G43" s="94"/>
      <c r="H43" s="94"/>
      <c r="I43" s="94"/>
      <c r="J43" s="94"/>
      <c r="K43" s="92">
        <f t="shared" si="3"/>
        <v>0</v>
      </c>
      <c r="L43" s="92">
        <f t="shared" si="3"/>
        <v>0</v>
      </c>
      <c r="M43" s="92">
        <f t="shared" si="3"/>
        <v>0</v>
      </c>
      <c r="N43" s="92">
        <f t="shared" si="3"/>
        <v>0</v>
      </c>
      <c r="O43" s="92">
        <f t="shared" si="3"/>
        <v>0</v>
      </c>
      <c r="P43" s="92">
        <f t="shared" si="3"/>
        <v>0</v>
      </c>
      <c r="Q43" s="10"/>
      <c r="R43" s="10"/>
      <c r="S43" s="92">
        <f t="shared" si="3"/>
        <v>0</v>
      </c>
      <c r="T43" s="92">
        <f t="shared" si="3"/>
        <v>0</v>
      </c>
      <c r="U43" s="92">
        <f t="shared" si="3"/>
        <v>0</v>
      </c>
      <c r="V43" s="92">
        <f t="shared" si="3"/>
        <v>0</v>
      </c>
      <c r="W43" s="92">
        <f t="shared" si="3"/>
        <v>0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</row>
    <row r="44" ht="15.75" customHeight="1">
      <c r="A44" s="10"/>
      <c r="B44" s="95"/>
      <c r="C44" s="56"/>
      <c r="D44" s="56"/>
      <c r="E44" s="56"/>
      <c r="F44" s="96"/>
      <c r="G44" s="96"/>
      <c r="H44" s="96"/>
      <c r="I44" s="96"/>
      <c r="J44" s="96"/>
      <c r="K44" s="56"/>
      <c r="L44" s="56"/>
      <c r="M44" s="56"/>
      <c r="N44" s="56"/>
      <c r="O44" s="56"/>
      <c r="P44" s="56"/>
      <c r="Q44" s="10"/>
      <c r="R44" s="10"/>
      <c r="S44" s="56" t="str">
        <f t="shared" si="4" ref="S44:S57">IF(OR(E44="",J44=""),"",E44*J44)</f>
        <v/>
      </c>
      <c r="T44" s="56" t="str">
        <f t="shared" si="5" ref="T44:T57">IF(OR(G44="",F44="",D44=""),"",(G44-F44)*D44)</f>
        <v/>
      </c>
      <c r="U44" s="56" t="str">
        <f t="shared" si="6" ref="U44:U57">IF(OR(I44="",H44="",D44=""),"",-(I44-H44)*D44)</f>
        <v/>
      </c>
      <c r="V44" s="56" t="str">
        <f t="shared" si="7" ref="V44:V57">IF(OR(L44="",K44=""),"",-(L44-K44))</f>
        <v/>
      </c>
      <c r="W44" s="56" t="str">
        <f t="shared" si="8" ref="W44:W57">IF(OR(N44="",M44=""),"",-(N44-M44))</f>
        <v/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</row>
    <row r="45" ht="15.75" customHeight="1">
      <c r="A45" s="10"/>
      <c r="B45" s="95"/>
      <c r="C45" s="56"/>
      <c r="D45" s="56"/>
      <c r="E45" s="56"/>
      <c r="F45" s="96"/>
      <c r="G45" s="96"/>
      <c r="H45" s="96"/>
      <c r="I45" s="96"/>
      <c r="J45" s="96"/>
      <c r="K45" s="56"/>
      <c r="L45" s="56"/>
      <c r="M45" s="56"/>
      <c r="N45" s="56"/>
      <c r="O45" s="56"/>
      <c r="P45" s="56"/>
      <c r="Q45" s="10"/>
      <c r="R45" s="10"/>
      <c r="S45" s="56" t="str">
        <f t="shared" si="4"/>
        <v/>
      </c>
      <c r="T45" s="56" t="str">
        <f t="shared" si="5"/>
        <v/>
      </c>
      <c r="U45" s="56" t="str">
        <f t="shared" si="6"/>
        <v/>
      </c>
      <c r="V45" s="56" t="str">
        <f t="shared" si="7"/>
        <v/>
      </c>
      <c r="W45" s="56" t="str">
        <f t="shared" si="8"/>
        <v/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</row>
    <row r="46" ht="15.75" customHeight="1">
      <c r="A46" s="10"/>
      <c r="B46" s="95"/>
      <c r="C46" s="56"/>
      <c r="D46" s="56"/>
      <c r="E46" s="56"/>
      <c r="F46" s="96"/>
      <c r="G46" s="96"/>
      <c r="H46" s="96"/>
      <c r="I46" s="96"/>
      <c r="J46" s="96"/>
      <c r="K46" s="56"/>
      <c r="L46" s="56"/>
      <c r="M46" s="56"/>
      <c r="N46" s="56"/>
      <c r="O46" s="56"/>
      <c r="P46" s="56"/>
      <c r="Q46" s="10"/>
      <c r="R46" s="10"/>
      <c r="S46" s="56" t="str">
        <f t="shared" si="4"/>
        <v/>
      </c>
      <c r="T46" s="56" t="str">
        <f t="shared" si="5"/>
        <v/>
      </c>
      <c r="U46" s="56" t="str">
        <f t="shared" si="6"/>
        <v/>
      </c>
      <c r="V46" s="56" t="str">
        <f t="shared" si="7"/>
        <v/>
      </c>
      <c r="W46" s="56" t="str">
        <f t="shared" si="8"/>
        <v/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</row>
    <row r="47" ht="15.75" customHeight="1">
      <c r="A47" s="10"/>
      <c r="B47" s="95"/>
      <c r="C47" s="56"/>
      <c r="D47" s="56"/>
      <c r="E47" s="56"/>
      <c r="F47" s="96"/>
      <c r="G47" s="96"/>
      <c r="H47" s="96"/>
      <c r="I47" s="96"/>
      <c r="J47" s="96"/>
      <c r="K47" s="56"/>
      <c r="L47" s="56"/>
      <c r="M47" s="56"/>
      <c r="N47" s="56"/>
      <c r="O47" s="56"/>
      <c r="P47" s="56"/>
      <c r="Q47" s="10"/>
      <c r="R47" s="10"/>
      <c r="S47" s="56" t="str">
        <f t="shared" si="4"/>
        <v/>
      </c>
      <c r="T47" s="56" t="str">
        <f t="shared" si="5"/>
        <v/>
      </c>
      <c r="U47" s="56" t="str">
        <f t="shared" si="6"/>
        <v/>
      </c>
      <c r="V47" s="56" t="str">
        <f t="shared" si="7"/>
        <v/>
      </c>
      <c r="W47" s="56" t="str">
        <f t="shared" si="8"/>
        <v/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</row>
    <row r="48" ht="15.75" customHeight="1">
      <c r="A48" s="10"/>
      <c r="B48" s="95"/>
      <c r="C48" s="56"/>
      <c r="D48" s="56"/>
      <c r="E48" s="56"/>
      <c r="F48" s="96"/>
      <c r="G48" s="96"/>
      <c r="H48" s="96"/>
      <c r="I48" s="96"/>
      <c r="J48" s="96"/>
      <c r="K48" s="56"/>
      <c r="L48" s="56"/>
      <c r="M48" s="56"/>
      <c r="N48" s="56"/>
      <c r="O48" s="56"/>
      <c r="P48" s="56"/>
      <c r="Q48" s="10"/>
      <c r="R48" s="10"/>
      <c r="S48" s="56" t="str">
        <f t="shared" si="4"/>
        <v/>
      </c>
      <c r="T48" s="56" t="str">
        <f t="shared" si="5"/>
        <v/>
      </c>
      <c r="U48" s="56" t="str">
        <f t="shared" si="6"/>
        <v/>
      </c>
      <c r="V48" s="56" t="str">
        <f t="shared" si="7"/>
        <v/>
      </c>
      <c r="W48" s="56" t="str">
        <f t="shared" si="8"/>
        <v/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</row>
    <row r="49" ht="15.75" customHeight="1">
      <c r="A49" s="10"/>
      <c r="B49" s="95"/>
      <c r="C49" s="56"/>
      <c r="D49" s="56"/>
      <c r="E49" s="56"/>
      <c r="F49" s="96"/>
      <c r="G49" s="96"/>
      <c r="H49" s="96"/>
      <c r="I49" s="96"/>
      <c r="J49" s="96"/>
      <c r="K49" s="56"/>
      <c r="L49" s="56"/>
      <c r="M49" s="56"/>
      <c r="N49" s="56"/>
      <c r="O49" s="56"/>
      <c r="P49" s="56"/>
      <c r="Q49" s="10"/>
      <c r="R49" s="10"/>
      <c r="S49" s="56" t="str">
        <f t="shared" si="4"/>
        <v/>
      </c>
      <c r="T49" s="56" t="str">
        <f t="shared" si="5"/>
        <v/>
      </c>
      <c r="U49" s="56" t="str">
        <f t="shared" si="6"/>
        <v/>
      </c>
      <c r="V49" s="56" t="str">
        <f t="shared" si="7"/>
        <v/>
      </c>
      <c r="W49" s="56" t="str">
        <f t="shared" si="8"/>
        <v/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</row>
    <row r="50" ht="15.75" customHeight="1">
      <c r="A50" s="10"/>
      <c r="B50" s="95"/>
      <c r="C50" s="56"/>
      <c r="D50" s="56"/>
      <c r="E50" s="56"/>
      <c r="F50" s="96"/>
      <c r="G50" s="96"/>
      <c r="H50" s="96"/>
      <c r="I50" s="96"/>
      <c r="J50" s="96"/>
      <c r="K50" s="56"/>
      <c r="L50" s="56"/>
      <c r="M50" s="56"/>
      <c r="N50" s="56"/>
      <c r="O50" s="56"/>
      <c r="P50" s="56"/>
      <c r="Q50" s="10"/>
      <c r="R50" s="10"/>
      <c r="S50" s="56" t="str">
        <f t="shared" si="4"/>
        <v/>
      </c>
      <c r="T50" s="56" t="str">
        <f t="shared" si="5"/>
        <v/>
      </c>
      <c r="U50" s="56" t="str">
        <f t="shared" si="6"/>
        <v/>
      </c>
      <c r="V50" s="56" t="str">
        <f t="shared" si="7"/>
        <v/>
      </c>
      <c r="W50" s="56" t="str">
        <f t="shared" si="8"/>
        <v/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</row>
    <row r="51" ht="15.75" customHeight="1">
      <c r="A51" s="10"/>
      <c r="B51" s="95"/>
      <c r="C51" s="56"/>
      <c r="D51" s="56"/>
      <c r="E51" s="56"/>
      <c r="F51" s="96"/>
      <c r="G51" s="96"/>
      <c r="H51" s="96"/>
      <c r="I51" s="96"/>
      <c r="J51" s="96"/>
      <c r="K51" s="56"/>
      <c r="L51" s="56"/>
      <c r="M51" s="56"/>
      <c r="N51" s="56"/>
      <c r="O51" s="56"/>
      <c r="P51" s="56"/>
      <c r="Q51" s="10"/>
      <c r="R51" s="10"/>
      <c r="S51" s="56" t="str">
        <f t="shared" si="4"/>
        <v/>
      </c>
      <c r="T51" s="56" t="str">
        <f t="shared" si="5"/>
        <v/>
      </c>
      <c r="U51" s="56" t="str">
        <f t="shared" si="6"/>
        <v/>
      </c>
      <c r="V51" s="56" t="str">
        <f t="shared" si="7"/>
        <v/>
      </c>
      <c r="W51" s="56" t="str">
        <f t="shared" si="8"/>
        <v/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</row>
    <row r="52" ht="15.75" customHeight="1">
      <c r="A52" s="10"/>
      <c r="B52" s="95"/>
      <c r="C52" s="56"/>
      <c r="D52" s="56"/>
      <c r="E52" s="56"/>
      <c r="F52" s="96"/>
      <c r="G52" s="96"/>
      <c r="H52" s="96"/>
      <c r="I52" s="96"/>
      <c r="J52" s="96"/>
      <c r="K52" s="56"/>
      <c r="L52" s="56"/>
      <c r="M52" s="56"/>
      <c r="N52" s="56"/>
      <c r="O52" s="56"/>
      <c r="P52" s="56"/>
      <c r="Q52" s="10"/>
      <c r="R52" s="10"/>
      <c r="S52" s="56" t="str">
        <f t="shared" si="4"/>
        <v/>
      </c>
      <c r="T52" s="56" t="str">
        <f t="shared" si="5"/>
        <v/>
      </c>
      <c r="U52" s="56" t="str">
        <f t="shared" si="6"/>
        <v/>
      </c>
      <c r="V52" s="56" t="str">
        <f t="shared" si="7"/>
        <v/>
      </c>
      <c r="W52" s="56" t="str">
        <f t="shared" si="8"/>
        <v/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</row>
    <row r="53" ht="15.75" customHeight="1">
      <c r="A53" s="10"/>
      <c r="B53" s="95"/>
      <c r="C53" s="56"/>
      <c r="D53" s="56"/>
      <c r="E53" s="56"/>
      <c r="F53" s="96"/>
      <c r="G53" s="96"/>
      <c r="H53" s="96"/>
      <c r="I53" s="96"/>
      <c r="J53" s="96"/>
      <c r="K53" s="56"/>
      <c r="L53" s="56"/>
      <c r="M53" s="56"/>
      <c r="N53" s="56"/>
      <c r="O53" s="56"/>
      <c r="P53" s="56"/>
      <c r="Q53" s="10"/>
      <c r="R53" s="10"/>
      <c r="S53" s="56" t="str">
        <f t="shared" si="4"/>
        <v/>
      </c>
      <c r="T53" s="56" t="str">
        <f t="shared" si="5"/>
        <v/>
      </c>
      <c r="U53" s="56" t="str">
        <f t="shared" si="6"/>
        <v/>
      </c>
      <c r="V53" s="56" t="str">
        <f t="shared" si="7"/>
        <v/>
      </c>
      <c r="W53" s="56" t="str">
        <f t="shared" si="8"/>
        <v/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</row>
    <row r="54" ht="15.75" customHeight="1">
      <c r="A54" s="10"/>
      <c r="B54" s="95"/>
      <c r="C54" s="56"/>
      <c r="D54" s="56"/>
      <c r="E54" s="56"/>
      <c r="F54" s="96"/>
      <c r="G54" s="96"/>
      <c r="H54" s="96"/>
      <c r="I54" s="96"/>
      <c r="J54" s="96"/>
      <c r="K54" s="56"/>
      <c r="L54" s="56"/>
      <c r="M54" s="56"/>
      <c r="N54" s="56"/>
      <c r="O54" s="56"/>
      <c r="P54" s="56"/>
      <c r="Q54" s="10"/>
      <c r="R54" s="10"/>
      <c r="S54" s="56" t="str">
        <f t="shared" si="4"/>
        <v/>
      </c>
      <c r="T54" s="56" t="str">
        <f t="shared" si="5"/>
        <v/>
      </c>
      <c r="U54" s="56" t="str">
        <f t="shared" si="6"/>
        <v/>
      </c>
      <c r="V54" s="56" t="str">
        <f t="shared" si="7"/>
        <v/>
      </c>
      <c r="W54" s="56" t="str">
        <f t="shared" si="8"/>
        <v/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</row>
    <row r="55" ht="15.75" customHeight="1">
      <c r="A55" s="10"/>
      <c r="B55" s="95"/>
      <c r="C55" s="56"/>
      <c r="D55" s="56"/>
      <c r="E55" s="56"/>
      <c r="F55" s="96"/>
      <c r="G55" s="96"/>
      <c r="H55" s="96"/>
      <c r="I55" s="96"/>
      <c r="J55" s="96"/>
      <c r="K55" s="56"/>
      <c r="L55" s="56"/>
      <c r="M55" s="56"/>
      <c r="N55" s="56"/>
      <c r="O55" s="56"/>
      <c r="P55" s="56"/>
      <c r="Q55" s="10"/>
      <c r="R55" s="10"/>
      <c r="S55" s="56" t="str">
        <f t="shared" si="4"/>
        <v/>
      </c>
      <c r="T55" s="56" t="str">
        <f t="shared" si="5"/>
        <v/>
      </c>
      <c r="U55" s="56" t="str">
        <f t="shared" si="6"/>
        <v/>
      </c>
      <c r="V55" s="56" t="str">
        <f t="shared" si="7"/>
        <v/>
      </c>
      <c r="W55" s="56" t="str">
        <f t="shared" si="8"/>
        <v/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</row>
    <row r="56" ht="15.75" customHeight="1">
      <c r="A56" s="10"/>
      <c r="B56" s="95"/>
      <c r="C56" s="56"/>
      <c r="D56" s="56"/>
      <c r="E56" s="56"/>
      <c r="F56" s="96"/>
      <c r="G56" s="96"/>
      <c r="H56" s="96"/>
      <c r="I56" s="96"/>
      <c r="J56" s="96"/>
      <c r="K56" s="56"/>
      <c r="L56" s="56"/>
      <c r="M56" s="56"/>
      <c r="N56" s="56"/>
      <c r="O56" s="56"/>
      <c r="P56" s="56"/>
      <c r="Q56" s="10"/>
      <c r="R56" s="10"/>
      <c r="S56" s="56" t="str">
        <f t="shared" si="4"/>
        <v/>
      </c>
      <c r="T56" s="56" t="str">
        <f t="shared" si="5"/>
        <v/>
      </c>
      <c r="U56" s="56" t="str">
        <f t="shared" si="6"/>
        <v/>
      </c>
      <c r="V56" s="56" t="str">
        <f t="shared" si="7"/>
        <v/>
      </c>
      <c r="W56" s="56" t="str">
        <f t="shared" si="8"/>
        <v/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</row>
    <row r="57" ht="15.75" customHeight="1">
      <c r="A57" s="10"/>
      <c r="B57" s="95"/>
      <c r="C57" s="56"/>
      <c r="D57" s="56"/>
      <c r="E57" s="56"/>
      <c r="F57" s="96"/>
      <c r="G57" s="96"/>
      <c r="H57" s="96"/>
      <c r="I57" s="96"/>
      <c r="J57" s="96"/>
      <c r="K57" s="56"/>
      <c r="L57" s="56"/>
      <c r="M57" s="56"/>
      <c r="N57" s="56"/>
      <c r="O57" s="56"/>
      <c r="P57" s="56"/>
      <c r="Q57" s="10"/>
      <c r="R57" s="10"/>
      <c r="S57" s="56" t="str">
        <f t="shared" si="4"/>
        <v/>
      </c>
      <c r="T57" s="56" t="str">
        <f t="shared" si="5"/>
        <v/>
      </c>
      <c r="U57" s="56" t="str">
        <f t="shared" si="6"/>
        <v/>
      </c>
      <c r="V57" s="56" t="str">
        <f t="shared" si="7"/>
        <v/>
      </c>
      <c r="W57" s="56" t="str">
        <f t="shared" si="8"/>
        <v/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</row>
    <row r="58" ht="15.75" customHeight="1">
      <c r="A58" s="10"/>
      <c r="B58" s="95"/>
      <c r="C58" s="56"/>
      <c r="D58" s="56"/>
      <c r="E58" s="56"/>
      <c r="F58" s="96"/>
      <c r="G58" s="96"/>
      <c r="H58" s="96"/>
      <c r="I58" s="96"/>
      <c r="J58" s="96"/>
      <c r="K58" s="56"/>
      <c r="L58" s="56"/>
      <c r="M58" s="56"/>
      <c r="N58" s="56"/>
      <c r="O58" s="56"/>
      <c r="P58" s="56"/>
      <c r="Q58" s="10"/>
      <c r="R58" s="10"/>
      <c r="S58" s="56"/>
      <c r="T58" s="56"/>
      <c r="U58" s="56"/>
      <c r="V58" s="56"/>
      <c r="W58" s="56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</row>
    <row r="59" ht="15.75" customHeight="1">
      <c r="A59" s="10"/>
      <c r="B59" s="95"/>
      <c r="C59" s="56"/>
      <c r="D59" s="56"/>
      <c r="E59" s="56"/>
      <c r="F59" s="96"/>
      <c r="G59" s="96"/>
      <c r="H59" s="96"/>
      <c r="I59" s="96"/>
      <c r="J59" s="96"/>
      <c r="K59" s="56"/>
      <c r="L59" s="56"/>
      <c r="M59" s="56"/>
      <c r="N59" s="56"/>
      <c r="O59" s="56"/>
      <c r="P59" s="56"/>
      <c r="Q59" s="10"/>
      <c r="R59" s="10"/>
      <c r="S59" s="56"/>
      <c r="T59" s="56"/>
      <c r="U59" s="56"/>
      <c r="V59" s="56"/>
      <c r="W59" s="56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</row>
    <row r="60" ht="15.75" customHeight="1">
      <c r="A60" s="10"/>
      <c r="B60" s="95"/>
      <c r="C60" s="56"/>
      <c r="D60" s="56"/>
      <c r="E60" s="56"/>
      <c r="F60" s="96"/>
      <c r="G60" s="96"/>
      <c r="H60" s="96"/>
      <c r="I60" s="96"/>
      <c r="J60" s="96"/>
      <c r="K60" s="56"/>
      <c r="L60" s="56"/>
      <c r="M60" s="56"/>
      <c r="N60" s="56"/>
      <c r="O60" s="56"/>
      <c r="P60" s="56"/>
      <c r="Q60" s="10"/>
      <c r="R60" s="10"/>
      <c r="S60" s="56"/>
      <c r="T60" s="56"/>
      <c r="U60" s="56"/>
      <c r="V60" s="56"/>
      <c r="W60" s="56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</row>
    <row r="61" ht="15.75" customHeight="1">
      <c r="A61" s="10"/>
      <c r="B61" s="95"/>
      <c r="C61" s="56"/>
      <c r="D61" s="56"/>
      <c r="E61" s="56"/>
      <c r="F61" s="96"/>
      <c r="G61" s="96"/>
      <c r="H61" s="96"/>
      <c r="I61" s="96"/>
      <c r="J61" s="96"/>
      <c r="K61" s="56"/>
      <c r="L61" s="56"/>
      <c r="M61" s="56"/>
      <c r="N61" s="56"/>
      <c r="O61" s="56"/>
      <c r="P61" s="56"/>
      <c r="Q61" s="10"/>
      <c r="R61" s="10"/>
      <c r="S61" s="56"/>
      <c r="T61" s="56"/>
      <c r="U61" s="56"/>
      <c r="V61" s="56"/>
      <c r="W61" s="56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</row>
    <row r="62" ht="15.75" customHeight="1">
      <c r="A62" s="10"/>
      <c r="B62" s="95"/>
      <c r="C62" s="56"/>
      <c r="D62" s="56"/>
      <c r="E62" s="56"/>
      <c r="F62" s="96"/>
      <c r="G62" s="96"/>
      <c r="H62" s="96"/>
      <c r="I62" s="96"/>
      <c r="J62" s="96"/>
      <c r="K62" s="56"/>
      <c r="L62" s="56"/>
      <c r="M62" s="56"/>
      <c r="N62" s="56"/>
      <c r="O62" s="56"/>
      <c r="P62" s="56"/>
      <c r="Q62" s="10"/>
      <c r="R62" s="10"/>
      <c r="S62" s="56"/>
      <c r="T62" s="56"/>
      <c r="U62" s="56"/>
      <c r="V62" s="56"/>
      <c r="W62" s="56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</row>
    <row r="63" ht="15.75" customHeight="1">
      <c r="A63" s="10"/>
      <c r="B63" s="95"/>
      <c r="C63" s="56"/>
      <c r="D63" s="56"/>
      <c r="E63" s="56"/>
      <c r="F63" s="96"/>
      <c r="G63" s="96"/>
      <c r="H63" s="96"/>
      <c r="I63" s="96"/>
      <c r="J63" s="96"/>
      <c r="K63" s="56"/>
      <c r="L63" s="56"/>
      <c r="M63" s="56"/>
      <c r="N63" s="56"/>
      <c r="O63" s="56"/>
      <c r="P63" s="56"/>
      <c r="Q63" s="10"/>
      <c r="R63" s="10"/>
      <c r="S63" s="56"/>
      <c r="T63" s="56"/>
      <c r="U63" s="56"/>
      <c r="V63" s="56"/>
      <c r="W63" s="56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</row>
    <row r="64" ht="15.75" customHeight="1">
      <c r="A64" s="10"/>
      <c r="B64" s="95"/>
      <c r="C64" s="56"/>
      <c r="D64" s="56"/>
      <c r="E64" s="56"/>
      <c r="F64" s="96"/>
      <c r="G64" s="96"/>
      <c r="H64" s="96"/>
      <c r="I64" s="96"/>
      <c r="J64" s="96"/>
      <c r="K64" s="56"/>
      <c r="L64" s="56"/>
      <c r="M64" s="56"/>
      <c r="N64" s="56"/>
      <c r="O64" s="56"/>
      <c r="P64" s="56"/>
      <c r="Q64" s="10"/>
      <c r="R64" s="10"/>
      <c r="S64" s="56"/>
      <c r="T64" s="56"/>
      <c r="U64" s="56"/>
      <c r="V64" s="56"/>
      <c r="W64" s="56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</row>
    <row r="65" ht="15.75" customHeight="1">
      <c r="A65" s="10"/>
      <c r="B65" s="95"/>
      <c r="C65" s="56"/>
      <c r="D65" s="56"/>
      <c r="E65" s="56"/>
      <c r="F65" s="96"/>
      <c r="G65" s="96"/>
      <c r="H65" s="96"/>
      <c r="I65" s="96"/>
      <c r="J65" s="96"/>
      <c r="K65" s="56"/>
      <c r="L65" s="56"/>
      <c r="M65" s="56"/>
      <c r="N65" s="56"/>
      <c r="O65" s="56"/>
      <c r="P65" s="56"/>
      <c r="Q65" s="10"/>
      <c r="R65" s="10"/>
      <c r="S65" s="56"/>
      <c r="T65" s="56"/>
      <c r="U65" s="56"/>
      <c r="V65" s="56"/>
      <c r="W65" s="56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</row>
    <row r="66" ht="15.75" customHeight="1">
      <c r="A66" s="10"/>
      <c r="B66" s="95"/>
      <c r="C66" s="56"/>
      <c r="D66" s="56"/>
      <c r="E66" s="56"/>
      <c r="F66" s="96"/>
      <c r="G66" s="96"/>
      <c r="H66" s="96"/>
      <c r="I66" s="96"/>
      <c r="J66" s="96"/>
      <c r="K66" s="56"/>
      <c r="L66" s="56"/>
      <c r="M66" s="56"/>
      <c r="N66" s="56"/>
      <c r="O66" s="56"/>
      <c r="P66" s="56"/>
      <c r="Q66" s="10"/>
      <c r="R66" s="10"/>
      <c r="S66" s="56"/>
      <c r="T66" s="56"/>
      <c r="U66" s="56"/>
      <c r="V66" s="56"/>
      <c r="W66" s="56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</row>
    <row r="67" ht="15.75" customHeight="1">
      <c r="A67" s="10"/>
      <c r="B67" s="95"/>
      <c r="C67" s="56"/>
      <c r="D67" s="56"/>
      <c r="E67" s="56"/>
      <c r="F67" s="96"/>
      <c r="G67" s="96"/>
      <c r="H67" s="96"/>
      <c r="I67" s="96"/>
      <c r="J67" s="96"/>
      <c r="K67" s="56"/>
      <c r="L67" s="56"/>
      <c r="M67" s="56"/>
      <c r="N67" s="56"/>
      <c r="O67" s="56"/>
      <c r="P67" s="56"/>
      <c r="Q67" s="10"/>
      <c r="R67" s="10"/>
      <c r="S67" s="56"/>
      <c r="T67" s="56"/>
      <c r="U67" s="56"/>
      <c r="V67" s="56"/>
      <c r="W67" s="56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</row>
    <row r="68" ht="15.75" customHeight="1">
      <c r="A68" s="10"/>
      <c r="B68" s="95"/>
      <c r="C68" s="56"/>
      <c r="D68" s="56"/>
      <c r="E68" s="56"/>
      <c r="F68" s="96"/>
      <c r="G68" s="96"/>
      <c r="H68" s="96"/>
      <c r="I68" s="96"/>
      <c r="J68" s="96"/>
      <c r="K68" s="56"/>
      <c r="L68" s="56"/>
      <c r="M68" s="56"/>
      <c r="N68" s="56"/>
      <c r="O68" s="56"/>
      <c r="P68" s="56"/>
      <c r="Q68" s="10"/>
      <c r="R68" s="10"/>
      <c r="S68" s="56"/>
      <c r="T68" s="56"/>
      <c r="U68" s="56"/>
      <c r="V68" s="56"/>
      <c r="W68" s="56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</row>
    <row r="69" ht="15.75" customHeight="1">
      <c r="A69" s="10"/>
      <c r="B69" s="95"/>
      <c r="C69" s="56"/>
      <c r="D69" s="56"/>
      <c r="E69" s="56"/>
      <c r="F69" s="96"/>
      <c r="G69" s="96"/>
      <c r="H69" s="96"/>
      <c r="I69" s="96"/>
      <c r="J69" s="96"/>
      <c r="K69" s="56"/>
      <c r="L69" s="56"/>
      <c r="M69" s="56"/>
      <c r="N69" s="56"/>
      <c r="O69" s="56"/>
      <c r="P69" s="56"/>
      <c r="Q69" s="10"/>
      <c r="R69" s="10"/>
      <c r="S69" s="56"/>
      <c r="T69" s="56"/>
      <c r="U69" s="56"/>
      <c r="V69" s="56"/>
      <c r="W69" s="56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</row>
    <row r="70" ht="15.75" customHeight="1">
      <c r="A70" s="10"/>
      <c r="B70" s="95"/>
      <c r="C70" s="56"/>
      <c r="D70" s="56"/>
      <c r="E70" s="56"/>
      <c r="F70" s="96"/>
      <c r="G70" s="96"/>
      <c r="H70" s="96"/>
      <c r="I70" s="96"/>
      <c r="J70" s="96"/>
      <c r="K70" s="56"/>
      <c r="L70" s="56"/>
      <c r="M70" s="56"/>
      <c r="N70" s="56"/>
      <c r="O70" s="56"/>
      <c r="P70" s="56"/>
      <c r="Q70" s="10"/>
      <c r="R70" s="10"/>
      <c r="S70" s="56"/>
      <c r="T70" s="56"/>
      <c r="U70" s="56"/>
      <c r="V70" s="56"/>
      <c r="W70" s="56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ht="15.75" customHeight="1">
      <c r="A71" s="10"/>
      <c r="B71" s="95"/>
      <c r="C71" s="56"/>
      <c r="D71" s="56"/>
      <c r="E71" s="56"/>
      <c r="F71" s="96"/>
      <c r="G71" s="96"/>
      <c r="H71" s="96"/>
      <c r="I71" s="96"/>
      <c r="J71" s="96"/>
      <c r="K71" s="56"/>
      <c r="L71" s="56"/>
      <c r="M71" s="56"/>
      <c r="N71" s="56"/>
      <c r="O71" s="56"/>
      <c r="P71" s="56"/>
      <c r="Q71" s="10"/>
      <c r="R71" s="10"/>
      <c r="S71" s="56"/>
      <c r="T71" s="56"/>
      <c r="U71" s="56"/>
      <c r="V71" s="56"/>
      <c r="W71" s="56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</row>
    <row r="72" ht="15.75" customHeight="1">
      <c r="A72" s="10"/>
      <c r="B72" s="95"/>
      <c r="C72" s="56"/>
      <c r="D72" s="56"/>
      <c r="E72" s="56"/>
      <c r="F72" s="96"/>
      <c r="G72" s="96"/>
      <c r="H72" s="96"/>
      <c r="I72" s="96"/>
      <c r="J72" s="96"/>
      <c r="K72" s="56"/>
      <c r="L72" s="56"/>
      <c r="M72" s="56"/>
      <c r="N72" s="56"/>
      <c r="O72" s="56"/>
      <c r="P72" s="56"/>
      <c r="Q72" s="10"/>
      <c r="R72" s="10"/>
      <c r="S72" s="56"/>
      <c r="T72" s="56"/>
      <c r="U72" s="56"/>
      <c r="V72" s="56"/>
      <c r="W72" s="56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</row>
    <row r="73" ht="15.75" customHeight="1">
      <c r="A73" s="10"/>
      <c r="B73" s="95"/>
      <c r="C73" s="56"/>
      <c r="D73" s="56"/>
      <c r="E73" s="56"/>
      <c r="F73" s="96"/>
      <c r="G73" s="96"/>
      <c r="H73" s="96"/>
      <c r="I73" s="96"/>
      <c r="J73" s="96"/>
      <c r="K73" s="56"/>
      <c r="L73" s="56"/>
      <c r="M73" s="56"/>
      <c r="N73" s="56"/>
      <c r="O73" s="56"/>
      <c r="P73" s="56"/>
      <c r="Q73" s="10"/>
      <c r="R73" s="10"/>
      <c r="S73" s="56"/>
      <c r="T73" s="56"/>
      <c r="U73" s="56"/>
      <c r="V73" s="56"/>
      <c r="W73" s="56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</row>
    <row r="74" ht="14.25" customHeight="1">
      <c r="A74" s="10"/>
      <c r="B74" s="95"/>
      <c r="C74" s="56"/>
      <c r="D74" s="56"/>
      <c r="E74" s="56"/>
      <c r="F74" s="96"/>
      <c r="G74" s="96"/>
      <c r="H74" s="96"/>
      <c r="I74" s="96"/>
      <c r="J74" s="96"/>
      <c r="K74" s="56"/>
      <c r="L74" s="56"/>
      <c r="M74" s="56"/>
      <c r="N74" s="56"/>
      <c r="O74" s="56"/>
      <c r="P74" s="56"/>
      <c r="Q74" s="10"/>
      <c r="R74" s="10"/>
      <c r="S74" s="56"/>
      <c r="T74" s="56"/>
      <c r="U74" s="56"/>
      <c r="V74" s="56"/>
      <c r="W74" s="56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</row>
    <row r="75" ht="14.25" customHeight="1">
      <c r="A75" s="10"/>
      <c r="B75" s="95"/>
      <c r="C75" s="56"/>
      <c r="D75" s="56"/>
      <c r="E75" s="56"/>
      <c r="F75" s="96"/>
      <c r="G75" s="96"/>
      <c r="H75" s="96"/>
      <c r="I75" s="96"/>
      <c r="J75" s="96"/>
      <c r="K75" s="56"/>
      <c r="L75" s="56"/>
      <c r="M75" s="56"/>
      <c r="N75" s="56"/>
      <c r="O75" s="56"/>
      <c r="P75" s="56"/>
      <c r="Q75" s="10"/>
      <c r="R75" s="10"/>
      <c r="S75" s="56"/>
      <c r="T75" s="56"/>
      <c r="U75" s="56"/>
      <c r="V75" s="56"/>
      <c r="W75" s="56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</row>
    <row r="76" ht="14.25" customHeight="1">
      <c r="A76" s="10"/>
      <c r="B76" s="95"/>
      <c r="C76" s="56"/>
      <c r="D76" s="56"/>
      <c r="E76" s="56"/>
      <c r="F76" s="96"/>
      <c r="G76" s="96"/>
      <c r="H76" s="96"/>
      <c r="I76" s="96"/>
      <c r="J76" s="96"/>
      <c r="K76" s="56"/>
      <c r="L76" s="56"/>
      <c r="M76" s="56"/>
      <c r="N76" s="56"/>
      <c r="O76" s="56"/>
      <c r="P76" s="56"/>
      <c r="Q76" s="10"/>
      <c r="R76" s="10"/>
      <c r="S76" s="56"/>
      <c r="T76" s="56"/>
      <c r="U76" s="56"/>
      <c r="V76" s="56"/>
      <c r="W76" s="56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</row>
    <row r="77" ht="14.25" customHeight="1">
      <c r="S77" s="56"/>
      <c r="T77" s="56"/>
      <c r="U77" s="56"/>
      <c r="V77" s="56"/>
      <c r="W77" s="56"/>
    </row>
    <row r="78" ht="14.25" customHeight="1">
      <c r="S78" s="56"/>
      <c r="T78" s="56"/>
      <c r="U78" s="56"/>
      <c r="V78" s="56"/>
      <c r="W78" s="56"/>
    </row>
    <row r="79" ht="14.25" customHeight="1">
      <c r="S79" s="56"/>
      <c r="T79" s="56"/>
      <c r="U79" s="56"/>
      <c r="V79" s="56"/>
      <c r="W79" s="56"/>
    </row>
    <row r="80" ht="14.25" customHeight="1">
      <c r="S80" s="56"/>
      <c r="T80" s="56"/>
      <c r="U80" s="56"/>
      <c r="V80" s="56"/>
      <c r="W80" s="56"/>
    </row>
    <row r="81" ht="14.25" customHeight="1">
      <c r="S81" s="56"/>
      <c r="T81" s="56"/>
      <c r="U81" s="56"/>
      <c r="V81" s="56"/>
      <c r="W81" s="56"/>
    </row>
    <row r="82" ht="14.25" customHeight="1">
      <c r="S82" s="56"/>
      <c r="T82" s="56"/>
      <c r="U82" s="56"/>
      <c r="V82" s="56"/>
      <c r="W82" s="56"/>
    </row>
  </sheetData>
  <sheetProtection sort="1" autoFilter="0"/>
  <conditionalFormatting sqref="B44:P76">
    <cfRule type="expression" dxfId="7" priority="9" text="null">
      <formula>$B44&lt;&gt;""</formula>
    </cfRule>
  </conditionalFormatting>
  <conditionalFormatting sqref="S44:W82">
    <cfRule type="expression" dxfId="8" priority="10" text="null">
      <formula>$B44&lt;&gt;""</formula>
    </cfRule>
  </conditionalFormatting>
  <conditionalFormatting sqref="C13:C17">
    <cfRule type="cellIs" dxfId="9" priority="1" operator="greaterThan" text="null">
      <formula>0</formula>
    </cfRule>
  </conditionalFormatting>
  <conditionalFormatting sqref="C13:C17">
    <cfRule type="cellIs" dxfId="10" priority="2" operator="lessThan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A54F738-EAB8-C3A8-1E18-DAF264D73628}" mc:Ignorable="x14ac xr xr2 xr3">
  <dimension ref="A1:Z56"/>
  <sheetViews>
    <sheetView topLeftCell="A1" workbookViewId="0">
      <selection activeCell="B33" sqref="B33"/>
    </sheetView>
  </sheetViews>
  <sheetFormatPr defaultRowHeight="14.25" defaultColWidth="9.00390625" customHeight="1"/>
  <cols>
    <col min="1" max="1" width="2.421875" customWidth="1"/>
    <col min="2" max="2" width="9.00390625" customWidth="1"/>
    <col min="3" max="3" width="16.00390625" customWidth="1"/>
    <col min="4" max="4" width="36.00390625" customWidth="1"/>
    <col min="5" max="6" width="15.00390625" customWidth="1"/>
    <col min="7" max="7" width="14.00390625" customWidth="1"/>
    <col min="8" max="8" width="15.00390625" customWidth="1"/>
    <col min="14" max="19" width="13.00390625" customWidth="1"/>
    <col min="22" max="22" width="9.28125" customWidth="1"/>
    <col min="23" max="23" width="29.00390625" customWidth="1"/>
    <col min="24" max="25" width="16.00390625" customWidth="1"/>
  </cols>
  <sheetData>
    <row r="1" ht="14.2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ht="26.25" customHeight="1">
      <c r="A2" s="66"/>
      <c r="B2" s="68"/>
      <c r="C2" s="68"/>
      <c r="D2" s="68" t="s">
        <v>119</v>
      </c>
      <c r="E2" s="66"/>
      <c r="F2" s="66"/>
      <c r="G2" s="66"/>
      <c r="H2" s="66"/>
      <c r="I2" s="66"/>
      <c r="J2" s="66"/>
      <c r="K2" s="66"/>
      <c r="L2" s="66"/>
      <c r="M2" s="66"/>
    </row>
    <row r="3" ht="23.25" customHeight="1">
      <c r="A3" s="66"/>
      <c r="B3" s="97"/>
      <c r="C3" s="97"/>
      <c r="D3" s="97" t="s">
        <v>120</v>
      </c>
      <c r="E3" s="66"/>
      <c r="F3" s="66"/>
      <c r="G3" s="66"/>
      <c r="H3" s="66"/>
      <c r="I3" s="66"/>
      <c r="J3" s="66"/>
      <c r="K3" s="66"/>
      <c r="L3" s="66"/>
      <c r="M3" s="66"/>
    </row>
    <row r="4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24" customHeight="1">
      <c r="A5" s="10"/>
      <c r="B5" s="98" t="e">
        <f>"Sur "&amp;TEXT(F34,"#,##0 €")&amp;" de chiffre d'affaires, "&amp;TEXT(-SUM(F35:F47),"#,##0 €")&amp;" partent en charges. Il reste "&amp;TEXT(SUM(F34:F47),"#,##0 €")&amp;" d'EBITDA, soit "&amp;TEXT(SUM(F34:F47)/F34,"0.0%")&amp;" du chiffre d'affaires."</f>
        <v>#DIV/0!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A6" s="10"/>
      <c r="B6" s="74" t="s">
        <v>121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99" t="s">
        <v>122</v>
      </c>
      <c r="O6" s="99" t="s">
        <v>123</v>
      </c>
      <c r="P6" s="99" t="s">
        <v>124</v>
      </c>
      <c r="Q6" s="99" t="s">
        <v>125</v>
      </c>
      <c r="R6" s="99" t="s">
        <v>126</v>
      </c>
      <c r="S6" s="99" t="s">
        <v>127</v>
      </c>
    </row>
    <row r="7" ht="8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V13" s="100" t="s">
        <v>128</v>
      </c>
      <c r="W13" s="101" t="s">
        <v>129</v>
      </c>
      <c r="X13" s="101" t="s">
        <v>130</v>
      </c>
      <c r="Y13" s="101" t="s">
        <v>131</v>
      </c>
    </row>
    <row r="14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V14" s="101" t="s">
        <v>132</v>
      </c>
      <c r="W14" s="101" t="s">
        <v>133</v>
      </c>
      <c r="X14" s="101">
        <v>3120000</v>
      </c>
      <c r="Y14" s="101">
        <v>3306675</v>
      </c>
    </row>
    <row r="15" ht="1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V15" t="s">
        <v>134</v>
      </c>
      <c r="W15" t="s">
        <v>135</v>
      </c>
      <c r="X15">
        <v>18534460</v>
      </c>
      <c r="Y15">
        <v>19681700</v>
      </c>
    </row>
    <row r="16" ht="1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V16" t="s">
        <v>136</v>
      </c>
      <c r="W16" t="s">
        <v>137</v>
      </c>
      <c r="X16">
        <v>104310</v>
      </c>
      <c r="Y16">
        <v>110610</v>
      </c>
    </row>
    <row r="17" ht="1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ht="1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ht="1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ht="1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ht="1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20.25" customHeight="1">
      <c r="A32" s="10"/>
      <c r="B32" s="75" t="s">
        <v>138</v>
      </c>
      <c r="C32" s="10"/>
      <c r="D32" s="10"/>
      <c r="E32" s="10"/>
      <c r="F32" s="10"/>
      <c r="G32" s="10"/>
      <c r="H32" s="76"/>
      <c r="I32" s="10"/>
      <c r="J32" s="10"/>
      <c r="K32" s="10"/>
      <c r="L32" s="10"/>
      <c r="M32" s="10"/>
    </row>
    <row r="33" ht="26.25" customHeight="1">
      <c r="A33" s="10"/>
      <c r="B33" s="77" t="s">
        <v>122</v>
      </c>
      <c r="C33" s="77" t="s">
        <v>123</v>
      </c>
      <c r="D33" s="77" t="s">
        <v>124</v>
      </c>
      <c r="E33" s="78" t="s">
        <v>126</v>
      </c>
      <c r="F33" s="78" t="s">
        <v>127</v>
      </c>
      <c r="G33" s="78" t="s">
        <v>139</v>
      </c>
      <c r="H33" s="78" t="s">
        <v>140</v>
      </c>
      <c r="I33" s="10"/>
      <c r="K33" t="s">
        <v>35</v>
      </c>
      <c r="L33" t="s">
        <v>38</v>
      </c>
      <c r="M33" s="10"/>
    </row>
    <row r="34" ht="15.75" customHeight="1">
      <c r="A34" s="10"/>
      <c r="B34" s="102" t="s">
        <v>132</v>
      </c>
      <c r="C34" s="103" t="str">
        <f t="shared" si="0" ref="C34:C49">_xlfn.IFERROR(VLOOKUP($B34,$N$7:$S$28,2,FALSE),"")</f>
        <v/>
      </c>
      <c r="D34" s="95" t="str">
        <f t="shared" si="1" ref="D34:D49">_xlfn.IFERROR(VLOOKUP($B34,$N$7:$S$28,3,FALSE),"")</f>
        <v/>
      </c>
      <c r="E34" s="104">
        <f t="shared" si="2" ref="E34:E49">_xlfn.IFERROR(VLOOKUP($B34,$N$7:$S$28,5,FALSE),0)</f>
        <v>0</v>
      </c>
      <c r="F34" s="104">
        <f t="shared" si="3" ref="F34:F49">_xlfn.IFERROR(VLOOKUP($B34,$N$7:$S$28,6,FALSE),0)</f>
        <v>0</v>
      </c>
      <c r="G34" s="105">
        <f t="shared" si="4" ref="G34:G49">F34-E34</f>
        <v>0</v>
      </c>
      <c r="H34" s="58" t="e">
        <f>IF($C34="Produits","",-F34/SUM(F37:F49))</f>
        <v>#DIV/0!</v>
      </c>
      <c r="I34" s="10"/>
      <c r="J34" t="str">
        <f t="shared" si="5" ref="J34:J49">_xlfn.IFERROR(VLOOKUP($B34,$N$7:$S$28,4,FALSE),"")</f>
        <v/>
      </c>
      <c r="M34" s="10"/>
    </row>
    <row r="35" ht="15.75" customHeight="1">
      <c r="A35" s="10"/>
      <c r="B35" s="102" t="s">
        <v>134</v>
      </c>
      <c r="C35" s="103" t="str">
        <f t="shared" si="0"/>
        <v/>
      </c>
      <c r="D35" s="95" t="str">
        <f t="shared" si="1"/>
        <v/>
      </c>
      <c r="E35" s="104">
        <f t="shared" si="2"/>
        <v>0</v>
      </c>
      <c r="F35" s="104">
        <f t="shared" si="3"/>
        <v>0</v>
      </c>
      <c r="G35" s="105">
        <f t="shared" si="4"/>
        <v>0</v>
      </c>
      <c r="H35" s="58" t="e">
        <f>IF($C35="Produits","",-F35/SUM(F37:F49))</f>
        <v>#DIV/0!</v>
      </c>
      <c r="I35" s="10"/>
      <c r="J35" t="str">
        <f t="shared" si="5"/>
        <v/>
      </c>
      <c r="M35" s="10"/>
    </row>
    <row r="36" ht="15.75" customHeight="1">
      <c r="A36" s="10"/>
      <c r="B36" s="102" t="s">
        <v>136</v>
      </c>
      <c r="C36" s="103" t="str">
        <f t="shared" si="0"/>
        <v/>
      </c>
      <c r="D36" s="95" t="str">
        <f t="shared" si="1"/>
        <v/>
      </c>
      <c r="E36" s="104">
        <f t="shared" si="2"/>
        <v>0</v>
      </c>
      <c r="F36" s="104">
        <f t="shared" si="3"/>
        <v>0</v>
      </c>
      <c r="G36" s="105">
        <f t="shared" si="4"/>
        <v>0</v>
      </c>
      <c r="H36" s="58" t="e">
        <f>IF($C36="Produits","",-F36/SUM(F37:F49))</f>
        <v>#DIV/0!</v>
      </c>
      <c r="I36" s="10"/>
      <c r="J36" t="str">
        <f t="shared" si="5"/>
        <v/>
      </c>
      <c r="M36" s="10"/>
    </row>
    <row r="37" ht="15.75" customHeight="1">
      <c r="A37" s="10"/>
      <c r="B37" s="102" t="s">
        <v>141</v>
      </c>
      <c r="C37" s="103" t="str">
        <f t="shared" si="0"/>
        <v/>
      </c>
      <c r="D37" s="95" t="str">
        <f t="shared" si="1"/>
        <v/>
      </c>
      <c r="E37" s="104">
        <f t="shared" si="2"/>
        <v>0</v>
      </c>
      <c r="F37" s="104">
        <f t="shared" si="3"/>
        <v>0</v>
      </c>
      <c r="G37" s="105">
        <f t="shared" si="4"/>
        <v>0</v>
      </c>
      <c r="H37" s="58" t="e">
        <f>IF($C37="Produits","",-F37/SUM(F37:F49))</f>
        <v>#DIV/0!</v>
      </c>
      <c r="I37" s="10"/>
      <c r="J37" t="str">
        <f t="shared" si="5"/>
        <v/>
      </c>
      <c r="K37">
        <f t="shared" si="6" ref="K37:L49">-E37</f>
        <v>0</v>
      </c>
      <c r="L37">
        <f t="shared" si="6"/>
        <v>0</v>
      </c>
      <c r="M37" s="10"/>
    </row>
    <row r="38" ht="15.75" customHeight="1">
      <c r="A38" s="10"/>
      <c r="B38" s="102" t="s">
        <v>142</v>
      </c>
      <c r="C38" s="103" t="str">
        <f t="shared" si="0"/>
        <v/>
      </c>
      <c r="D38" s="95" t="str">
        <f t="shared" si="1"/>
        <v/>
      </c>
      <c r="E38" s="104">
        <f t="shared" si="2"/>
        <v>0</v>
      </c>
      <c r="F38" s="104">
        <f t="shared" si="3"/>
        <v>0</v>
      </c>
      <c r="G38" s="105">
        <f t="shared" si="4"/>
        <v>0</v>
      </c>
      <c r="H38" s="58" t="e">
        <f>IF($C38="Produits","",-F38/SUM(F37:F49))</f>
        <v>#DIV/0!</v>
      </c>
      <c r="I38" s="10"/>
      <c r="J38" t="str">
        <f t="shared" si="5"/>
        <v/>
      </c>
      <c r="K38">
        <f t="shared" si="6"/>
        <v>0</v>
      </c>
      <c r="L38">
        <f t="shared" si="6"/>
        <v>0</v>
      </c>
      <c r="M38" s="10"/>
    </row>
    <row r="39" ht="15.75" customHeight="1">
      <c r="A39" s="10"/>
      <c r="B39" s="102" t="s">
        <v>143</v>
      </c>
      <c r="C39" s="103" t="str">
        <f t="shared" si="0"/>
        <v/>
      </c>
      <c r="D39" s="95" t="str">
        <f t="shared" si="1"/>
        <v/>
      </c>
      <c r="E39" s="104">
        <f t="shared" si="2"/>
        <v>0</v>
      </c>
      <c r="F39" s="104">
        <f t="shared" si="3"/>
        <v>0</v>
      </c>
      <c r="G39" s="105">
        <f t="shared" si="4"/>
        <v>0</v>
      </c>
      <c r="H39" s="58" t="e">
        <f>IF($C39="Produits","",-F39/SUM(F37:F49))</f>
        <v>#DIV/0!</v>
      </c>
      <c r="I39" s="10"/>
      <c r="J39" t="str">
        <f t="shared" si="5"/>
        <v/>
      </c>
      <c r="K39">
        <f t="shared" si="6"/>
        <v>0</v>
      </c>
      <c r="L39">
        <f t="shared" si="6"/>
        <v>0</v>
      </c>
      <c r="M39" s="10"/>
    </row>
    <row r="40" ht="15.75" customHeight="1">
      <c r="A40" s="10"/>
      <c r="B40" s="102" t="s">
        <v>144</v>
      </c>
      <c r="C40" s="103" t="str">
        <f t="shared" si="0"/>
        <v/>
      </c>
      <c r="D40" s="95" t="str">
        <f t="shared" si="1"/>
        <v/>
      </c>
      <c r="E40" s="104">
        <f t="shared" si="2"/>
        <v>0</v>
      </c>
      <c r="F40" s="104">
        <f t="shared" si="3"/>
        <v>0</v>
      </c>
      <c r="G40" s="105">
        <f t="shared" si="4"/>
        <v>0</v>
      </c>
      <c r="H40" s="58" t="e">
        <f>IF($C40="Produits","",-F40/SUM(F37:F49))</f>
        <v>#DIV/0!</v>
      </c>
      <c r="I40" s="10"/>
      <c r="J40" t="str">
        <f t="shared" si="5"/>
        <v/>
      </c>
      <c r="K40">
        <f t="shared" si="6"/>
        <v>0</v>
      </c>
      <c r="L40">
        <f t="shared" si="6"/>
        <v>0</v>
      </c>
      <c r="M40" s="10"/>
    </row>
    <row r="41" ht="15.75" customHeight="1">
      <c r="A41" s="10"/>
      <c r="B41" s="102" t="s">
        <v>145</v>
      </c>
      <c r="C41" s="103" t="str">
        <f t="shared" si="0"/>
        <v/>
      </c>
      <c r="D41" s="95" t="str">
        <f t="shared" si="1"/>
        <v/>
      </c>
      <c r="E41" s="104">
        <f t="shared" si="2"/>
        <v>0</v>
      </c>
      <c r="F41" s="104">
        <f t="shared" si="3"/>
        <v>0</v>
      </c>
      <c r="G41" s="105">
        <f t="shared" si="4"/>
        <v>0</v>
      </c>
      <c r="H41" s="58" t="e">
        <f>IF($C41="Produits","",-F41/SUM(F37:F49))</f>
        <v>#DIV/0!</v>
      </c>
      <c r="I41" s="10"/>
      <c r="J41" t="str">
        <f t="shared" si="5"/>
        <v/>
      </c>
      <c r="K41">
        <f t="shared" si="6"/>
        <v>0</v>
      </c>
      <c r="L41">
        <f t="shared" si="6"/>
        <v>0</v>
      </c>
      <c r="M41" s="10"/>
    </row>
    <row r="42" ht="15.75" customHeight="1">
      <c r="A42" s="10"/>
      <c r="B42" s="102" t="s">
        <v>146</v>
      </c>
      <c r="C42" s="103" t="str">
        <f t="shared" si="0"/>
        <v/>
      </c>
      <c r="D42" s="95" t="str">
        <f t="shared" si="1"/>
        <v/>
      </c>
      <c r="E42" s="104">
        <f t="shared" si="2"/>
        <v>0</v>
      </c>
      <c r="F42" s="104">
        <f t="shared" si="3"/>
        <v>0</v>
      </c>
      <c r="G42" s="105">
        <f t="shared" si="4"/>
        <v>0</v>
      </c>
      <c r="H42" s="58" t="e">
        <f>IF($C42="Produits","",-F42/SUM(F37:F49))</f>
        <v>#DIV/0!</v>
      </c>
      <c r="I42" s="10"/>
      <c r="J42" t="str">
        <f t="shared" si="5"/>
        <v/>
      </c>
      <c r="K42">
        <f t="shared" si="6"/>
        <v>0</v>
      </c>
      <c r="L42">
        <f t="shared" si="6"/>
        <v>0</v>
      </c>
      <c r="M42" s="10"/>
    </row>
    <row r="43" ht="15.75" customHeight="1">
      <c r="A43" s="10"/>
      <c r="B43" s="102" t="s">
        <v>147</v>
      </c>
      <c r="C43" s="103" t="str">
        <f t="shared" si="0"/>
        <v/>
      </c>
      <c r="D43" s="95" t="str">
        <f t="shared" si="1"/>
        <v/>
      </c>
      <c r="E43" s="104">
        <f t="shared" si="2"/>
        <v>0</v>
      </c>
      <c r="F43" s="104">
        <f t="shared" si="3"/>
        <v>0</v>
      </c>
      <c r="G43" s="105">
        <f t="shared" si="4"/>
        <v>0</v>
      </c>
      <c r="H43" s="58" t="e">
        <f>IF($C43="Produits","",-F43/SUM(F37:F49))</f>
        <v>#DIV/0!</v>
      </c>
      <c r="I43" s="10"/>
      <c r="J43" t="str">
        <f t="shared" si="5"/>
        <v/>
      </c>
      <c r="K43">
        <f t="shared" si="6"/>
        <v>0</v>
      </c>
      <c r="L43">
        <f t="shared" si="6"/>
        <v>0</v>
      </c>
      <c r="M43" s="10"/>
    </row>
    <row r="44" ht="15.75" customHeight="1">
      <c r="A44" s="10"/>
      <c r="B44" s="102" t="s">
        <v>148</v>
      </c>
      <c r="C44" s="103" t="str">
        <f t="shared" si="0"/>
        <v/>
      </c>
      <c r="D44" s="95" t="str">
        <f t="shared" si="1"/>
        <v/>
      </c>
      <c r="E44" s="104">
        <f t="shared" si="2"/>
        <v>0</v>
      </c>
      <c r="F44" s="104">
        <f t="shared" si="3"/>
        <v>0</v>
      </c>
      <c r="G44" s="105">
        <f t="shared" si="4"/>
        <v>0</v>
      </c>
      <c r="H44" s="58" t="e">
        <f>IF($C44="Produits","",-F44/SUM(F37:F49))</f>
        <v>#DIV/0!</v>
      </c>
      <c r="I44" s="10"/>
      <c r="J44" t="str">
        <f t="shared" si="5"/>
        <v/>
      </c>
      <c r="K44">
        <f t="shared" si="6"/>
        <v>0</v>
      </c>
      <c r="L44">
        <f t="shared" si="6"/>
        <v>0</v>
      </c>
      <c r="M44" s="10"/>
    </row>
    <row r="45" ht="15.75" customHeight="1">
      <c r="A45" s="10"/>
      <c r="B45" s="102" t="s">
        <v>149</v>
      </c>
      <c r="C45" s="103" t="str">
        <f t="shared" si="0"/>
        <v/>
      </c>
      <c r="D45" s="95" t="str">
        <f t="shared" si="1"/>
        <v/>
      </c>
      <c r="E45" s="104">
        <f t="shared" si="2"/>
        <v>0</v>
      </c>
      <c r="F45" s="104">
        <f t="shared" si="3"/>
        <v>0</v>
      </c>
      <c r="G45" s="105">
        <f t="shared" si="4"/>
        <v>0</v>
      </c>
      <c r="H45" s="58" t="e">
        <f>IF($C45="Produits","",-F45/SUM(F37:F49))</f>
        <v>#DIV/0!</v>
      </c>
      <c r="I45" s="10"/>
      <c r="J45" t="str">
        <f t="shared" si="5"/>
        <v/>
      </c>
      <c r="K45">
        <f t="shared" si="6"/>
        <v>0</v>
      </c>
      <c r="L45">
        <f t="shared" si="6"/>
        <v>0</v>
      </c>
      <c r="M45" s="10"/>
    </row>
    <row r="46" ht="15.75" customHeight="1">
      <c r="A46" s="10"/>
      <c r="B46" s="102" t="s">
        <v>150</v>
      </c>
      <c r="C46" s="103" t="str">
        <f t="shared" si="0"/>
        <v/>
      </c>
      <c r="D46" s="95" t="str">
        <f t="shared" si="1"/>
        <v/>
      </c>
      <c r="E46" s="104">
        <f t="shared" si="2"/>
        <v>0</v>
      </c>
      <c r="F46" s="104">
        <f t="shared" si="3"/>
        <v>0</v>
      </c>
      <c r="G46" s="105">
        <f t="shared" si="4"/>
        <v>0</v>
      </c>
      <c r="H46" s="58" t="e">
        <f>IF($C46="Produits","",-F46/SUM(F37:F49))</f>
        <v>#DIV/0!</v>
      </c>
      <c r="I46" s="10"/>
      <c r="J46" t="str">
        <f t="shared" si="5"/>
        <v/>
      </c>
      <c r="K46">
        <f t="shared" si="6"/>
        <v>0</v>
      </c>
      <c r="L46">
        <f t="shared" si="6"/>
        <v>0</v>
      </c>
      <c r="M46" s="10"/>
    </row>
    <row r="47" ht="15.75" customHeight="1">
      <c r="A47" s="10"/>
      <c r="B47" s="102" t="s">
        <v>151</v>
      </c>
      <c r="C47" s="103" t="str">
        <f t="shared" si="0"/>
        <v/>
      </c>
      <c r="D47" s="95" t="str">
        <f t="shared" si="1"/>
        <v/>
      </c>
      <c r="E47" s="104">
        <f t="shared" si="2"/>
        <v>0</v>
      </c>
      <c r="F47" s="104">
        <f t="shared" si="3"/>
        <v>0</v>
      </c>
      <c r="G47" s="105">
        <f t="shared" si="4"/>
        <v>0</v>
      </c>
      <c r="H47" s="58" t="e">
        <f>IF($C47="Produits","",-F47/SUM(F37:F49))</f>
        <v>#DIV/0!</v>
      </c>
      <c r="I47" s="10"/>
      <c r="J47" t="str">
        <f t="shared" si="5"/>
        <v/>
      </c>
      <c r="K47">
        <f t="shared" si="6"/>
        <v>0</v>
      </c>
      <c r="L47">
        <f t="shared" si="6"/>
        <v>0</v>
      </c>
      <c r="M47" s="10"/>
    </row>
    <row r="48" ht="14.25" customHeight="1">
      <c r="A48" s="10"/>
      <c r="B48" s="102" t="s">
        <v>152</v>
      </c>
      <c r="C48" s="103" t="str">
        <f t="shared" si="0"/>
        <v/>
      </c>
      <c r="D48" s="95" t="str">
        <f t="shared" si="1"/>
        <v/>
      </c>
      <c r="E48" s="104">
        <f t="shared" si="2"/>
        <v>0</v>
      </c>
      <c r="F48" s="104">
        <f t="shared" si="3"/>
        <v>0</v>
      </c>
      <c r="G48" s="105">
        <f t="shared" si="4"/>
        <v>0</v>
      </c>
      <c r="H48" s="58" t="e">
        <f>IF($C48="Produits","",-F48/SUM(F37:F49))</f>
        <v>#DIV/0!</v>
      </c>
      <c r="I48" s="10"/>
      <c r="J48" t="str">
        <f t="shared" si="5"/>
        <v/>
      </c>
      <c r="K48">
        <f t="shared" si="6"/>
        <v>0</v>
      </c>
      <c r="L48">
        <f t="shared" si="6"/>
        <v>0</v>
      </c>
      <c r="M48" s="10"/>
    </row>
    <row r="49" ht="14.25" customHeight="1">
      <c r="A49" s="10"/>
      <c r="B49" s="102" t="s">
        <v>153</v>
      </c>
      <c r="C49" s="103" t="str">
        <f t="shared" si="0"/>
        <v/>
      </c>
      <c r="D49" s="95" t="str">
        <f t="shared" si="1"/>
        <v/>
      </c>
      <c r="E49" s="104">
        <f t="shared" si="2"/>
        <v>0</v>
      </c>
      <c r="F49" s="104">
        <f t="shared" si="3"/>
        <v>0</v>
      </c>
      <c r="G49" s="105">
        <f t="shared" si="4"/>
        <v>0</v>
      </c>
      <c r="H49" s="58" t="e">
        <f>IF($C49="Produits","",-F49/SUM(F37:F49))</f>
        <v>#DIV/0!</v>
      </c>
      <c r="I49" s="10"/>
      <c r="J49" t="str">
        <f t="shared" si="5"/>
        <v/>
      </c>
      <c r="K49">
        <f t="shared" si="6"/>
        <v>0</v>
      </c>
      <c r="L49">
        <f t="shared" si="6"/>
        <v>0</v>
      </c>
      <c r="M49" s="10"/>
    </row>
    <row r="50" ht="1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ht="15" customHeight="1">
      <c r="A51" s="10"/>
      <c r="B51" s="88" t="s">
        <v>154</v>
      </c>
      <c r="C51" s="106"/>
      <c r="D51" s="88" t="s">
        <v>155</v>
      </c>
      <c r="E51" s="107">
        <f t="shared" si="7" ref="E51:F51">SUM(E34:E49)</f>
        <v>0</v>
      </c>
      <c r="F51" s="107">
        <f t="shared" si="7"/>
        <v>0</v>
      </c>
      <c r="G51" s="106"/>
      <c r="H51" s="106"/>
      <c r="I51" s="10"/>
      <c r="J51" s="10"/>
      <c r="K51" s="10"/>
      <c r="L51" s="10"/>
      <c r="M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4.25" customHeight="1">
      <c r="B53" s="75" t="s">
        <v>156</v>
      </c>
      <c r="C53" s="10"/>
      <c r="D53" s="10"/>
      <c r="E53" s="10"/>
      <c r="F53" s="10"/>
      <c r="G53" s="10"/>
      <c r="H53" s="10"/>
    </row>
    <row r="54" ht="14.25" customHeight="1">
      <c r="B54" s="108" t="s">
        <v>157</v>
      </c>
      <c r="C54" s="109"/>
      <c r="D54" s="109"/>
      <c r="E54" s="110">
        <f t="shared" si="8" ref="E54:F54">SUM(E34:E36)</f>
        <v>0</v>
      </c>
      <c r="F54" s="110">
        <f t="shared" si="8"/>
        <v>0</v>
      </c>
      <c r="G54" s="109"/>
      <c r="H54" s="109"/>
    </row>
    <row r="55" ht="14.25" customHeight="1">
      <c r="B55" s="108" t="s">
        <v>158</v>
      </c>
      <c r="C55" s="109"/>
      <c r="D55" s="109"/>
      <c r="E55" s="110">
        <f>SUM($X$14:$X$16)</f>
        <v>21758770</v>
      </c>
      <c r="F55" s="110">
        <f>SUM($Y$14:$Y$16)</f>
        <v>23098985</v>
      </c>
      <c r="G55" s="109"/>
      <c r="H55" s="109"/>
    </row>
    <row r="56" ht="15" customHeight="1">
      <c r="B56" s="111" t="s">
        <v>159</v>
      </c>
      <c r="C56" s="112"/>
      <c r="D56" s="112"/>
      <c r="E56" s="113">
        <f t="shared" si="9" ref="E56:F56">E54-E55</f>
        <v>-21758770</v>
      </c>
      <c r="F56" s="113">
        <f t="shared" si="9"/>
        <v>-23098985</v>
      </c>
      <c r="G56" s="114">
        <f t="shared" si="10" ref="G56:H56">E56/E55</f>
        <v>-1</v>
      </c>
      <c r="H56" s="114">
        <f t="shared" si="10"/>
        <v>-1</v>
      </c>
    </row>
  </sheetData>
  <sheetProtection sort="1" autoFilter="0"/>
  <conditionalFormatting sqref="B34:H49">
    <cfRule type="expression" dxfId="11" priority="1" text="null">
      <formula>$C34="Produits"</formula>
    </cfRule>
  </conditionalFormatting>
  <conditionalFormatting sqref="B34:H49">
    <cfRule type="expression" dxfId="12" priority="2" text="null">
      <formula>$B34="SIEGE"</formula>
    </cfRule>
  </conditionalFormatting>
  <conditionalFormatting sqref="B34:H49">
    <cfRule type="expression" dxfId="7" priority="3" text="null">
      <formula>$B34&lt;&gt;""</formula>
    </cfRule>
  </conditionalFormatting>
  <conditionalFormatting sqref="G34:G49">
    <cfRule type="cellIs" dxfId="5" priority="4" operator="greaterThan" text="null">
      <formula>0</formula>
    </cfRule>
  </conditionalFormatting>
  <conditionalFormatting sqref="G34:G49">
    <cfRule type="cellIs" dxfId="13" priority="5" operator="lessThan" text="null">
      <formula>0</formula>
    </cfRule>
  </conditionalFormatting>
  <conditionalFormatting sqref="H34:H49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{59d325df-0d28-4253-9ec9-c151bfda46ff}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d325df-0d28-4253-9ec9-c151bfda46ff}">
            <x14:dataBar minLength="0" maxLength="100" direction="leftToRight">
              <x14:color rgb="FFB8CFEC"/>
              <x14:cfvo type="num">
                <xm:f>0</xm:f>
              </x14:cfvo>
              <x14:cfvo type="max"/>
              <x14:negativeFillColor rgb="FFFF0000"/>
              <x14:negativeBorderColor rgb="FF000000"/>
              <x14:axisColor rgb="FF000000"/>
            </x14:dataBar>
          </x14:cfRule>
          <xm:sqref>H34:H49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Cockpit</vt:lpstr>
      <vt:lpstr>Drill EBITDA 1</vt:lpstr>
      <vt:lpstr>Drill EBITDA 2</vt:lpstr>
      <vt:lpstr>Cockpit!Query00</vt:lpstr>
      <vt:lpstr>Cockpit!Query01</vt:lpstr>
      <vt:lpstr>Cockpit!Query02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2026-09-04T14:45:38Z</dcterms:created>
  <dc:creator>Saad El meziati</dc:creator>
  <cp:lastModifiedBy>Saad El meziati</cp:lastModifiedBy>
  <dcterms:modified xsi:type="dcterms:W3CDTF">2026-09-07T01:49:30Z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